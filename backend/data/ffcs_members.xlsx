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<sst xmlns="http://schemas.openxmlformats.org/spreadsheetml/2006/main" count="1059" uniqueCount="494">
  <si>
    <t>Programme</t>
  </si>
  <si>
    <t>Register No</t>
  </si>
  <si>
    <t>Name</t>
  </si>
  <si>
    <t>School</t>
  </si>
  <si>
    <t>Course Mode</t>
  </si>
  <si>
    <t>Course Registered Status</t>
  </si>
  <si>
    <t>Email</t>
  </si>
  <si>
    <t>Mob No</t>
  </si>
  <si>
    <t>Registered TimeStamp</t>
  </si>
  <si>
    <t>Attendance Date</t>
  </si>
  <si>
    <t>Status</t>
  </si>
  <si>
    <t>BAI</t>
  </si>
  <si>
    <t>25BAI1218</t>
  </si>
  <si>
    <t>SURENDAR S</t>
  </si>
  <si>
    <t>SCOPE</t>
  </si>
  <si>
    <t>Regular</t>
  </si>
  <si>
    <t>Registered and Approved</t>
  </si>
  <si>
    <t>surendar.s2025@vitstudent.ac.in</t>
  </si>
  <si>
    <t>SENT (2026-08-26 17:54:02)</t>
  </si>
  <si>
    <t>25BAI1548</t>
  </si>
  <si>
    <t>PRAJITH B</t>
  </si>
  <si>
    <t>prajith.b2025@vitstudent.ac.in</t>
  </si>
  <si>
    <t>25BAI1611</t>
  </si>
  <si>
    <t>SACHIN V</t>
  </si>
  <si>
    <t>sachin.v2025@vitstudent.ac.in</t>
  </si>
  <si>
    <t>25BAI1621</t>
  </si>
  <si>
    <t>SIVISH L K</t>
  </si>
  <si>
    <t>sivish.lk2025@vitstudent.ac.in</t>
  </si>
  <si>
    <t>SENT (2026-08-26 17:54:03)</t>
  </si>
  <si>
    <t>25BAI1719</t>
  </si>
  <si>
    <t>A AHAN VENKATESH</t>
  </si>
  <si>
    <t>ahanvenkatesh.a2025@vitstudent.ac.in</t>
  </si>
  <si>
    <t>25BAI1756</t>
  </si>
  <si>
    <t>VAIBHAV GOPINATH</t>
  </si>
  <si>
    <t>vaibhav.gopinath2025@vitstudent.ac.in</t>
  </si>
  <si>
    <t>SENT (2026-08-26 17:54:04)</t>
  </si>
  <si>
    <t>25BAI1770</t>
  </si>
  <si>
    <t>MITHULRASWANTH A</t>
  </si>
  <si>
    <t>mithulraswanth.a2025a@vitstudent.ac.in</t>
  </si>
  <si>
    <t>SENT (2026-08-26 17:54:07)</t>
  </si>
  <si>
    <t>BCE</t>
  </si>
  <si>
    <t>25BCE1196</t>
  </si>
  <si>
    <t>DHANANJAI R</t>
  </si>
  <si>
    <t>dhananjai.r2025@vitstudent.ac.in</t>
  </si>
  <si>
    <t>25BCE1244</t>
  </si>
  <si>
    <t>SAKTHI SUNDAR M</t>
  </si>
  <si>
    <t>sakthisundar.m2025@vitstudent.ac.in</t>
  </si>
  <si>
    <t>SENT (2026-08-26 17:54:08)</t>
  </si>
  <si>
    <t>25BCE1545</t>
  </si>
  <si>
    <t>ARUN M PALANIAPPAN</t>
  </si>
  <si>
    <t>arun.mpalaniappan2025@vitstudent.ac.in</t>
  </si>
  <si>
    <t>25BCE1666</t>
  </si>
  <si>
    <t>JWALA SRIHARSHA KOMPALLI</t>
  </si>
  <si>
    <t>jwala.sriharsha2025@vitstudent.ac.in</t>
  </si>
  <si>
    <t>25BCE1771</t>
  </si>
  <si>
    <t>MOHAMMED NADEEM</t>
  </si>
  <si>
    <t>mohammed.nadeem2025@vitstudent.ac.in</t>
  </si>
  <si>
    <t>SENT (2026-08-26 17:54:09)</t>
  </si>
  <si>
    <t>25BCE1781</t>
  </si>
  <si>
    <t>SURYA R</t>
  </si>
  <si>
    <t>surya.r2025@vitstudent.ac.in</t>
  </si>
  <si>
    <t>25BCE1953</t>
  </si>
  <si>
    <t>MEDINI A</t>
  </si>
  <si>
    <t>medini.a2025@vitstudent.ac.in</t>
  </si>
  <si>
    <t>SENT (2026-08-26 17:54:10)</t>
  </si>
  <si>
    <t>25BCE5389</t>
  </si>
  <si>
    <t>V KANEESHKAR</t>
  </si>
  <si>
    <t>kaneeshkar.v2025@vitstudent.ac.in</t>
  </si>
  <si>
    <t>25BCE5468</t>
  </si>
  <si>
    <t>DORAGALLU SAI SIDDHARTHA</t>
  </si>
  <si>
    <t>doragallu.sai2025@vitstudent.ac.in</t>
  </si>
  <si>
    <t>SENT (2026-08-26 17:54:11)</t>
  </si>
  <si>
    <t>25BCE5638</t>
  </si>
  <si>
    <t>AATHISH T</t>
  </si>
  <si>
    <t>aathish.t2025@vitstudent.ac.in</t>
  </si>
  <si>
    <t>25BCE5727</t>
  </si>
  <si>
    <t>V BALAGANESH</t>
  </si>
  <si>
    <t>balaganesh.v2025@vitstudent.ac.in</t>
  </si>
  <si>
    <t>BCL</t>
  </si>
  <si>
    <t>25BCL1028</t>
  </si>
  <si>
    <t>RISHIKA E</t>
  </si>
  <si>
    <t>SCE</t>
  </si>
  <si>
    <t>rishika.e2025@vitstudent.ac.in</t>
  </si>
  <si>
    <t>SENT (2026-08-26 17:54:12)</t>
  </si>
  <si>
    <t>25BCL1033</t>
  </si>
  <si>
    <t>M TARAKESHWAR</t>
  </si>
  <si>
    <t>tarakeshwar.m2025@vitstudent.ac.in</t>
  </si>
  <si>
    <t>BCV</t>
  </si>
  <si>
    <t>25BCV1024</t>
  </si>
  <si>
    <t>KAVIN ADITIYA S K</t>
  </si>
  <si>
    <t>kavin.aditiya2025@vitstudent.ac.in</t>
  </si>
  <si>
    <t>SENT (2026-08-26 17:54:13)</t>
  </si>
  <si>
    <t>BEC</t>
  </si>
  <si>
    <t>25BEC1026</t>
  </si>
  <si>
    <t>J M KAVIN VISHNU</t>
  </si>
  <si>
    <t>SENSE</t>
  </si>
  <si>
    <t>kavinvishnu.jm2025@vitstudent.ac.in</t>
  </si>
  <si>
    <t>25BEC1085</t>
  </si>
  <si>
    <t>TEJIT V J</t>
  </si>
  <si>
    <t>tejit.vj2025@vitstudent.ac.in</t>
  </si>
  <si>
    <t>SENT (2026-08-26 17:54:14)</t>
  </si>
  <si>
    <t>25BEC1125</t>
  </si>
  <si>
    <t>ADITYA KRISHNAN S</t>
  </si>
  <si>
    <t>adityakrishnan.s2025@vitstudent.ac.in</t>
  </si>
  <si>
    <t>25BEC1159</t>
  </si>
  <si>
    <t>S HARI KESHAN</t>
  </si>
  <si>
    <t>harikeshan.s2025@vitstudent.ac.in</t>
  </si>
  <si>
    <t>SENT (2026-08-26 17:54:15)</t>
  </si>
  <si>
    <t>25BEC1169</t>
  </si>
  <si>
    <t>ROHIT P</t>
  </si>
  <si>
    <t>rohit.p2025a@vitstudent.ac.in</t>
  </si>
  <si>
    <t>25BEC1172</t>
  </si>
  <si>
    <t>E G R AVINAASH</t>
  </si>
  <si>
    <t>ravinaash.eg2025@vitstudent.ac.in</t>
  </si>
  <si>
    <t>SENT (2026-08-26 17:54:16)</t>
  </si>
  <si>
    <t>25BEC1191</t>
  </si>
  <si>
    <t>BHARATH SRINIVASAN</t>
  </si>
  <si>
    <t>bharath.srinivasan2025@vitstudent.ac.in</t>
  </si>
  <si>
    <t>25BEC1197</t>
  </si>
  <si>
    <t>VIJAY G</t>
  </si>
  <si>
    <t>vijay.g2025@vitstudent.ac.in</t>
  </si>
  <si>
    <t>25BEC1262</t>
  </si>
  <si>
    <t>SOORYA V</t>
  </si>
  <si>
    <t>soorya.v2025@vitstudent.ac.in</t>
  </si>
  <si>
    <t>SENT (2026-08-26 17:54:17)</t>
  </si>
  <si>
    <t>25BEC1414</t>
  </si>
  <si>
    <t>GURU DINESHAA S</t>
  </si>
  <si>
    <t>gurudineshaa.s2025@vitstudent.ac.in</t>
  </si>
  <si>
    <t>25BEC1432</t>
  </si>
  <si>
    <t>HARICHARAN K</t>
  </si>
  <si>
    <t>haricharan.k2025@vitstudent.ac.in</t>
  </si>
  <si>
    <t>25BEC1485</t>
  </si>
  <si>
    <t>A SNOWIN ANTO</t>
  </si>
  <si>
    <t>snowinanto.a2025@vitstudent.ac.in</t>
  </si>
  <si>
    <t>SENT (2026-08-26 17:54:18)</t>
  </si>
  <si>
    <t>25BEC1576</t>
  </si>
  <si>
    <t>J HAANSIN GHINA</t>
  </si>
  <si>
    <t>haansinghina.j2025@vitstudent.ac.in</t>
  </si>
  <si>
    <t>BEE</t>
  </si>
  <si>
    <t>25BEE1086</t>
  </si>
  <si>
    <t>SREENITHIN N</t>
  </si>
  <si>
    <t>SELECT</t>
  </si>
  <si>
    <t>sreenithin.n2025@vitstudent.ac.in</t>
  </si>
  <si>
    <t>25BEE1185</t>
  </si>
  <si>
    <t>JATIN VATS</t>
  </si>
  <si>
    <t>jatin.vats2025@vitstudent.ac.in</t>
  </si>
  <si>
    <t>SENT (2026-08-26 17:54:19)</t>
  </si>
  <si>
    <t>25BEE1207</t>
  </si>
  <si>
    <t>SAI ISHWAR SHANMUGA SUNDARAM</t>
  </si>
  <si>
    <t>sai.ishwar2025@vitstudent.ac.in</t>
  </si>
  <si>
    <t>BLC</t>
  </si>
  <si>
    <t>25BLC1341</t>
  </si>
  <si>
    <t>SURYA DHARMARAJ</t>
  </si>
  <si>
    <t>surya.2025a@vitstudent.ac.in</t>
  </si>
  <si>
    <t>SENT (2026-08-26 17:54:20)</t>
  </si>
  <si>
    <t>25BLC1349</t>
  </si>
  <si>
    <t>R S RAGHAVENDHAR</t>
  </si>
  <si>
    <t>raghavendhar.rs2025@vitstudent.ac.in</t>
  </si>
  <si>
    <t>SENT (2026-08-26 17:54:23)</t>
  </si>
  <si>
    <t>BME</t>
  </si>
  <si>
    <t>25BME1117</t>
  </si>
  <si>
    <t>SAMYUKTHA R</t>
  </si>
  <si>
    <t>SMEC</t>
  </si>
  <si>
    <t>samyuktha.r2025@vitstudent.ac.in</t>
  </si>
  <si>
    <t>25BME1219</t>
  </si>
  <si>
    <t>VEDHIKA RAGHAVI P H</t>
  </si>
  <si>
    <t>vedhikaraghavi.p2025@vitstudent.ac.in</t>
  </si>
  <si>
    <t>25BME1261</t>
  </si>
  <si>
    <t>YOGESH PRASANTH A N</t>
  </si>
  <si>
    <t>yogeshprasanth.a2025@vitstudent.ac.in</t>
  </si>
  <si>
    <t>SENT (2026-08-26 17:54:24)</t>
  </si>
  <si>
    <t>25BME1297</t>
  </si>
  <si>
    <t>KAMALNATH V</t>
  </si>
  <si>
    <t>kamalnath.v2025@vitstudent.ac.in</t>
  </si>
  <si>
    <t>BMH</t>
  </si>
  <si>
    <t>25BMH1022</t>
  </si>
  <si>
    <t>THIRUMUKILAN E S</t>
  </si>
  <si>
    <t>thirumukilan.es2025@vitstudent.ac.in</t>
  </si>
  <si>
    <t>25BMH1081</t>
  </si>
  <si>
    <t>BAGAVANTH RAAM G</t>
  </si>
  <si>
    <t>bagavanthraam.g2025@vitstudent.ac.in</t>
  </si>
  <si>
    <t>SENT (2026-08-26 17:54:25)</t>
  </si>
  <si>
    <t>BMV</t>
  </si>
  <si>
    <t>25BMV1045</t>
  </si>
  <si>
    <t>G SAI AKSHITH</t>
  </si>
  <si>
    <t>saiakshtih.g2025@vitstudent.ac.in</t>
  </si>
  <si>
    <t>SENT (2026-08-26 17:54:26)</t>
  </si>
  <si>
    <t>BRS</t>
  </si>
  <si>
    <t>25BRS1333</t>
  </si>
  <si>
    <t>V RAHUL NATHAN</t>
  </si>
  <si>
    <t>rahul.nathan2025@vitstudent.ac.in</t>
  </si>
  <si>
    <t>BYB</t>
  </si>
  <si>
    <t>25BYB1200</t>
  </si>
  <si>
    <t>SAI MANINDHIRA R A</t>
  </si>
  <si>
    <t>saimanindhira.ra2025@vitstudent.ac.in</t>
  </si>
  <si>
    <t>25BYB1212</t>
  </si>
  <si>
    <t>ERIC MANOJ JOSEPH THAYYIL</t>
  </si>
  <si>
    <t>eric.manoj2025@vitstudent.ac.in</t>
  </si>
  <si>
    <t>SENT (2026-08-26 17:54:27)</t>
  </si>
  <si>
    <t>MID</t>
  </si>
  <si>
    <t>25MID1067</t>
  </si>
  <si>
    <t>YUVANESH K</t>
  </si>
  <si>
    <t>yuvanesh.k2025@vitstudent.ac.in</t>
  </si>
  <si>
    <t>25MID1105</t>
  </si>
  <si>
    <t>APURVAA ARAVIND</t>
  </si>
  <si>
    <t>apurvaa.aravind2025@vitstudent.ac.in</t>
  </si>
  <si>
    <t>25MID1121</t>
  </si>
  <si>
    <t>DHEERAJ SANJAY J</t>
  </si>
  <si>
    <t>dheerajsanjay.j2025@vitstudent.ac.in</t>
  </si>
  <si>
    <t>SENT (2026-08-26 17:54:28)</t>
  </si>
  <si>
    <t>MIS</t>
  </si>
  <si>
    <t>25MIS1002</t>
  </si>
  <si>
    <t>SARAN S V</t>
  </si>
  <si>
    <t>saran.sv2025@vitstudent.ac.in</t>
  </si>
  <si>
    <t>25MIS1045</t>
  </si>
  <si>
    <t>MAGDALENE NIKITHA M</t>
  </si>
  <si>
    <t>magdalenenikitha.m2025@vitstudent.ac.in</t>
  </si>
  <si>
    <t>SENT (2026-08-26 17:54:29)</t>
  </si>
  <si>
    <t>25MIS1048</t>
  </si>
  <si>
    <t>SANJAYA S</t>
  </si>
  <si>
    <t>sanjaya.s2025@vitstudent.ac.in</t>
  </si>
  <si>
    <t>25MIS1054</t>
  </si>
  <si>
    <t>AADARSH SRINATH S</t>
  </si>
  <si>
    <t>aadarshsrinath.s2025@vitstudent.ac.in</t>
  </si>
  <si>
    <t>25MIS1100</t>
  </si>
  <si>
    <t>SUBASRI S</t>
  </si>
  <si>
    <t>subasri.2025@vitstudent.ac.in</t>
  </si>
  <si>
    <t>SENT (2026-08-26 17:54:30)</t>
  </si>
  <si>
    <t>25MIS1125</t>
  </si>
  <si>
    <t>ROSHINI PRABHAKAR</t>
  </si>
  <si>
    <t>roshini.prabhakar2025@vitstudent.ac.in</t>
  </si>
  <si>
    <t>25MIS1129</t>
  </si>
  <si>
    <t>YATHRA P</t>
  </si>
  <si>
    <t>yathra.2025@vitstudent.ac.in</t>
  </si>
  <si>
    <t>25MIS1188</t>
  </si>
  <si>
    <t>KARISHMA S</t>
  </si>
  <si>
    <t>karishma.s2025a@vitstudent.ac.in</t>
  </si>
  <si>
    <t>SENT (2026-08-26 17:54:33)</t>
  </si>
  <si>
    <t>BLA</t>
  </si>
  <si>
    <t>25BLA1004</t>
  </si>
  <si>
    <t>R NAKSHATRA</t>
  </si>
  <si>
    <t>VITSOL</t>
  </si>
  <si>
    <t>nakshatra.r2025@vitstudent.ac.in</t>
  </si>
  <si>
    <t>SENT (2026-08-26 17:54:34)</t>
  </si>
  <si>
    <t>25BLA1008</t>
  </si>
  <si>
    <t>PADMESH B J</t>
  </si>
  <si>
    <t>padmesh.bj2025@vitstudent.ac.in</t>
  </si>
  <si>
    <t>25BLA1017</t>
  </si>
  <si>
    <t>RYAN A</t>
  </si>
  <si>
    <t>ryan.a2025@vitstudent.ac.in</t>
  </si>
  <si>
    <t>25BLA1025</t>
  </si>
  <si>
    <t>P B NIRANJANA</t>
  </si>
  <si>
    <t>niranjana.pb2025@vitstudent.ac.in</t>
  </si>
  <si>
    <t>SENT (2026-08-26 17:54:35)</t>
  </si>
  <si>
    <t>25BLA1033</t>
  </si>
  <si>
    <t>JASHWANTH JAGANNATHAN A S</t>
  </si>
  <si>
    <t>jashwanth.2025@vitstudent.ac.in</t>
  </si>
  <si>
    <t>25BLA1034</t>
  </si>
  <si>
    <t>V VIKRANTH BALASUBRAMANIAN</t>
  </si>
  <si>
    <t>vikranthbalasubram.2025@vitstudent.ac.in</t>
  </si>
  <si>
    <t>SENT (2026-08-26 17:54:36)</t>
  </si>
  <si>
    <t>25BLA1035</t>
  </si>
  <si>
    <t>K HARIPRIYA</t>
  </si>
  <si>
    <t>haripriya.k2025a@vitstudent.ac.in</t>
  </si>
  <si>
    <t>25BLA1040</t>
  </si>
  <si>
    <t>THEJA SRI R</t>
  </si>
  <si>
    <t>thejasri.r2025@vitstudent.ac.in</t>
  </si>
  <si>
    <t>SENT (2026-08-26 17:54:37)</t>
  </si>
  <si>
    <t>25BLA1044</t>
  </si>
  <si>
    <t>JAYESH M K</t>
  </si>
  <si>
    <t>jayesh.mk2025@vitstudent.ac.in</t>
  </si>
  <si>
    <t>SENT (2026-08-26 17:54:45)</t>
  </si>
  <si>
    <t>25BLA1047</t>
  </si>
  <si>
    <t>NITHILA G</t>
  </si>
  <si>
    <t>nithila.ganesan2025@vitstudent.ac.in</t>
  </si>
  <si>
    <t>25BLA1049</t>
  </si>
  <si>
    <t>SANTHOSH BABU N P</t>
  </si>
  <si>
    <t>santhoshbabu.n2025@vitstudent.ac.in</t>
  </si>
  <si>
    <t>SENT (2026-08-26 17:54:46)</t>
  </si>
  <si>
    <t>25BLA1068</t>
  </si>
  <si>
    <t>K S KAVI BHARATI</t>
  </si>
  <si>
    <t>kavibharati.ks2025@vitstudent.ac.in</t>
  </si>
  <si>
    <t>SENT (2026-08-26 17:54:51)</t>
  </si>
  <si>
    <t>25BLA1080</t>
  </si>
  <si>
    <t>ABIENAV SAIJU</t>
  </si>
  <si>
    <t>abienav.saiju2025@vitstudent.ac.in</t>
  </si>
  <si>
    <t>25BLA1087</t>
  </si>
  <si>
    <t>PRISHA K</t>
  </si>
  <si>
    <t>prisha.k2025@vitstudent.ac.in</t>
  </si>
  <si>
    <t>SENT (2026-08-26 17:54:52)</t>
  </si>
  <si>
    <t>25BLA1091</t>
  </si>
  <si>
    <t>MAGALAKSHMI D</t>
  </si>
  <si>
    <t>magalakshmi.d2025@vitstudent.ac.in</t>
  </si>
  <si>
    <t>BLB</t>
  </si>
  <si>
    <t>25BLB1047</t>
  </si>
  <si>
    <t>ROBERT PANDIAN P</t>
  </si>
  <si>
    <t>robert.pandian2025@vitstudent.ac.in</t>
  </si>
  <si>
    <t>25BLB1068</t>
  </si>
  <si>
    <t>SHREYANS</t>
  </si>
  <si>
    <t>shreyans.s2025@vitstudent.ac.in</t>
  </si>
  <si>
    <t>SENT (2026-08-26 17:54:53)</t>
  </si>
  <si>
    <t>25BLB1076</t>
  </si>
  <si>
    <t>V VENKATA VISHNU</t>
  </si>
  <si>
    <t>venkatavishnu.v2025@vitstudent.ac.in</t>
  </si>
  <si>
    <t>25BLB1078</t>
  </si>
  <si>
    <t>ABIJIT PRAKASH</t>
  </si>
  <si>
    <t>abijitprakash.a2025@vitstudent.ac.in</t>
  </si>
  <si>
    <t>25BLB1082</t>
  </si>
  <si>
    <t>VAIBHAV MUKUNDAN</t>
  </si>
  <si>
    <t>vaibhav.mukundan2025@vitstudent.ac.in</t>
  </si>
  <si>
    <t>SENT (2026-08-26 17:54:54)</t>
  </si>
  <si>
    <t>25BLB1084</t>
  </si>
  <si>
    <t>M SHRI AISHWARYA</t>
  </si>
  <si>
    <t>shriaishwarya.m2025@vitstudent.ac.in</t>
  </si>
  <si>
    <t>25BLB1085</t>
  </si>
  <si>
    <t>SASAANK SREENIVAS A</t>
  </si>
  <si>
    <t>sasaanksreenivas.a2025@vitstudent.ac.in</t>
  </si>
  <si>
    <t>SENT (2026-08-26 17:54:55)</t>
  </si>
  <si>
    <t>25BLB1088</t>
  </si>
  <si>
    <t>V AMRUTH SAI</t>
  </si>
  <si>
    <t>amruthsai.v2025@vitstudent.ac.in</t>
  </si>
  <si>
    <t>25BLB1091</t>
  </si>
  <si>
    <t>ADHIRA R</t>
  </si>
  <si>
    <t>adhira.r2025@vitstudent.ac.in</t>
  </si>
  <si>
    <t>25BLB1096</t>
  </si>
  <si>
    <t>T SOMNATH</t>
  </si>
  <si>
    <t>somnath.t2025@vitstudent.ac.in</t>
  </si>
  <si>
    <t>SENT (2026-08-26 17:54:56)</t>
  </si>
  <si>
    <t>25BLB1100</t>
  </si>
  <si>
    <t>PROMOTTH M</t>
  </si>
  <si>
    <t>promotth.m2025@vitstudent.ac.in</t>
  </si>
  <si>
    <t>25BLB1103</t>
  </si>
  <si>
    <t>J CHRIS KENITH</t>
  </si>
  <si>
    <t>chriskenith.j2025@vitstudent.ac.in</t>
  </si>
  <si>
    <t>25BLB1108</t>
  </si>
  <si>
    <t>S KAUSIHARAM</t>
  </si>
  <si>
    <t>kausiharam.s2025@vitstudent.ac.in</t>
  </si>
  <si>
    <t>SENT (2026-08-26 17:54:57)</t>
  </si>
  <si>
    <t>25BLB1113</t>
  </si>
  <si>
    <t>SHYAM SUNDAR S</t>
  </si>
  <si>
    <t>shyamsundar.s2025@vitstudent.ac.in</t>
  </si>
  <si>
    <t>SENT (2026-08-26 17:54:58)</t>
  </si>
  <si>
    <t>25BLB1114</t>
  </si>
  <si>
    <t>LITHESH P</t>
  </si>
  <si>
    <t>lithesh.p2025@vitstudent.ac.in</t>
  </si>
  <si>
    <t>25BLB1129</t>
  </si>
  <si>
    <t>K S SAKTHI DHITCHANYA</t>
  </si>
  <si>
    <t>sakthidhitchanya.ks2025@vitstudent.ac.in</t>
  </si>
  <si>
    <t>25BLB1135</t>
  </si>
  <si>
    <t>S N ARJUN</t>
  </si>
  <si>
    <t>arjun.sn2025@vitstudent.ac.in</t>
  </si>
  <si>
    <t>SENT (2026-08-26 17:54:59)</t>
  </si>
  <si>
    <t>25BLB1138</t>
  </si>
  <si>
    <t>JEY RAKSHAN S</t>
  </si>
  <si>
    <t>jeyrakshan.s2025@vitstudent.ac.in</t>
  </si>
  <si>
    <t>25BLB1150</t>
  </si>
  <si>
    <t>CHANTHERAKANTH D</t>
  </si>
  <si>
    <t>chantherkanth.d2025@vitstudent.ac.in</t>
  </si>
  <si>
    <t>SENT (2026-08-26 17:55:00)</t>
  </si>
  <si>
    <t>25BLB1162</t>
  </si>
  <si>
    <t>V S DHANVANTRI</t>
  </si>
  <si>
    <t>dhanvantri.vs2025@vitstudent.ac.in</t>
  </si>
  <si>
    <t>25BLB1183</t>
  </si>
  <si>
    <t>ASHWIN RAMESH</t>
  </si>
  <si>
    <t>ashwin.r2025a@vitstudent.ac.in</t>
  </si>
  <si>
    <t>BBH</t>
  </si>
  <si>
    <t>24BBH1041</t>
  </si>
  <si>
    <t>T V RICHEETHA</t>
  </si>
  <si>
    <t>VITBS</t>
  </si>
  <si>
    <t>Course Substitution</t>
  </si>
  <si>
    <t>Registered, Invoice Generated, Fees Paid and Approved</t>
  </si>
  <si>
    <t>richeetha.tv2024@vitstudent.ac.in</t>
  </si>
  <si>
    <t>SENT (2026-08-26 17:55:01)</t>
  </si>
  <si>
    <t>24BBH1046</t>
  </si>
  <si>
    <t>INIYAN I</t>
  </si>
  <si>
    <t>iniyan.i2024@vitstudent.ac.in</t>
  </si>
  <si>
    <t>25BBH1005</t>
  </si>
  <si>
    <t>SANJITHAA J</t>
  </si>
  <si>
    <t>sanjithaa.j2025@vitstudent.ac.in</t>
  </si>
  <si>
    <t>25BBH1013</t>
  </si>
  <si>
    <t>ISHPREET SINGH</t>
  </si>
  <si>
    <t>ishpreet.singh2025@vitstudent.ac.in</t>
  </si>
  <si>
    <t>SENT (2026-08-26 17:55:02)</t>
  </si>
  <si>
    <t>25BBH1015</t>
  </si>
  <si>
    <t>ASHITHA VENKATESH</t>
  </si>
  <si>
    <t>ashitha.venkatesh2025@vitstudent.ac.in</t>
  </si>
  <si>
    <t>25BBH1026</t>
  </si>
  <si>
    <t>V A RAGAVI</t>
  </si>
  <si>
    <t>ragavi.va2025@vitstudent.ac.in</t>
  </si>
  <si>
    <t>SENT (2026-08-26 17:55:03)</t>
  </si>
  <si>
    <t>25BBH1037</t>
  </si>
  <si>
    <t>MOHAMED MAHIN S</t>
  </si>
  <si>
    <t>mohamedmahin.s2025@vitstudent.ac.in</t>
  </si>
  <si>
    <t>25BBH1039</t>
  </si>
  <si>
    <t>SHREYASI R</t>
  </si>
  <si>
    <t>shreyasi.r2025@vitstudent.ac.in</t>
  </si>
  <si>
    <t>SENT (2026-08-26 17:55:04)</t>
  </si>
  <si>
    <t>25BBH1047</t>
  </si>
  <si>
    <t>S M HARAN</t>
  </si>
  <si>
    <t>haran.sm2025@vitstudent.ac.in</t>
  </si>
  <si>
    <t>25BBH1054</t>
  </si>
  <si>
    <t>VIJAYAKUMAR R</t>
  </si>
  <si>
    <t>vijayakumar.r2025@vitstudent.ac.in</t>
  </si>
  <si>
    <t>SENT (2026-08-26 17:55:05)</t>
  </si>
  <si>
    <t>25BBH1057</t>
  </si>
  <si>
    <t>K HARINI</t>
  </si>
  <si>
    <t>harini.k2025@vitstudent.ac.in</t>
  </si>
  <si>
    <t>25BBH1070</t>
  </si>
  <si>
    <t>SARVESH NAARAYAN V</t>
  </si>
  <si>
    <t>sarveshnaarayan.v2025@vitstudent.ac.in</t>
  </si>
  <si>
    <t>25BBH1071</t>
  </si>
  <si>
    <t>NIVEDITAA L R</t>
  </si>
  <si>
    <t>niveditaa.lr2025@vitstudent.ac.in</t>
  </si>
  <si>
    <t>SENT (2026-08-26 17:55:06)</t>
  </si>
  <si>
    <t>25BBH1078</t>
  </si>
  <si>
    <t>ARUL S</t>
  </si>
  <si>
    <t>arul.2025@vitstudent.ac.in</t>
  </si>
  <si>
    <t>25BBH1080</t>
  </si>
  <si>
    <t>SIDDHARTH RAMESH</t>
  </si>
  <si>
    <t>siddharth.ramesh2025@vitstudent.ac.in</t>
  </si>
  <si>
    <t>SENT (2026-08-26 17:55:07)</t>
  </si>
  <si>
    <t>25BBH1084</t>
  </si>
  <si>
    <t>ANUNITHA M</t>
  </si>
  <si>
    <t>anunitha.m2025@vitstudent.ac.in</t>
  </si>
  <si>
    <t>25BBH1090</t>
  </si>
  <si>
    <t>D J HETESH PRASANNA</t>
  </si>
  <si>
    <t>heteshprasanna.dj2025@vitstudent.ac.in</t>
  </si>
  <si>
    <t>SENT (2026-08-26 17:55:19)</t>
  </si>
  <si>
    <t>25BBH1092</t>
  </si>
  <si>
    <t>LAYA VIVEK</t>
  </si>
  <si>
    <t>laya.vivek2025@vitstudent.ac.in</t>
  </si>
  <si>
    <t>BCS</t>
  </si>
  <si>
    <t>25BCS1025</t>
  </si>
  <si>
    <t>AATHITHYA M</t>
  </si>
  <si>
    <t>aathithya.m2025@vitstudent.ac.in</t>
  </si>
  <si>
    <t>SENT (2026-08-26 17:55:20)</t>
  </si>
  <si>
    <t>BHC</t>
  </si>
  <si>
    <t>25BHC1006</t>
  </si>
  <si>
    <t>VIBHOOSHANA S</t>
  </si>
  <si>
    <t>vibhooshana.2025@vitstudent.ac.in</t>
  </si>
  <si>
    <t>25BHC1007</t>
  </si>
  <si>
    <t>ASHWIN V</t>
  </si>
  <si>
    <t>ashwin.v2025a@vitstudent.ac.in</t>
  </si>
  <si>
    <t>25BHC1009</t>
  </si>
  <si>
    <t>NAVANEETHAKRISHNA GOVINDARAJAN</t>
  </si>
  <si>
    <t>navaneethakrishna.2025@vitstudent.ac.in</t>
  </si>
  <si>
    <t>SENT (2026-08-26 17:55:21)</t>
  </si>
  <si>
    <t>25BHC1017</t>
  </si>
  <si>
    <t>AVANTIKA K A</t>
  </si>
  <si>
    <t>avantika.nair2025@vitstudent.ac.in</t>
  </si>
  <si>
    <t>25BHC1032</t>
  </si>
  <si>
    <t>P PRASHANTH</t>
  </si>
  <si>
    <t>prashanth.p2025@vitstudent.ac.in</t>
  </si>
  <si>
    <t>SENT (2026-08-26 17:55:24)</t>
  </si>
  <si>
    <t>25BHC1042</t>
  </si>
  <si>
    <t>KAVITHRAN M A</t>
  </si>
  <si>
    <t>kavithran.a2025@vitstudent.ac.in</t>
  </si>
  <si>
    <t>25BHC1047</t>
  </si>
  <si>
    <t>TIMPLE SHREE S</t>
  </si>
  <si>
    <t>timpleshree.s2025@vitstudent.ac.in</t>
  </si>
  <si>
    <t>SENT (2026-08-26 17:55:25)</t>
  </si>
  <si>
    <t>25BHC1048</t>
  </si>
  <si>
    <t>SHALINI RAJASEKARAN</t>
  </si>
  <si>
    <t>shalini.rajasekaran2025@vitstudent.ac.in</t>
  </si>
  <si>
    <t>25BHC1049</t>
  </si>
  <si>
    <t>SIDDARTH M</t>
  </si>
  <si>
    <t>siddarth.m2025@vitstudent.ac.in</t>
  </si>
  <si>
    <t>25BHC1061</t>
  </si>
  <si>
    <t>SIVA SUBRAMONIAN K</t>
  </si>
  <si>
    <t>sivasubramonian.k2025@vitstudent.ac.in</t>
  </si>
  <si>
    <t>SENT (2026-08-26 17:55:26)</t>
  </si>
  <si>
    <t>25BHC1070</t>
  </si>
  <si>
    <t>KARISHMA ANSARI</t>
  </si>
  <si>
    <t>karishma.2025@vitstudent.ac.in</t>
  </si>
  <si>
    <t>25BHC1075</t>
  </si>
  <si>
    <t>DHARSHITHA IRENE G</t>
  </si>
  <si>
    <t>dharshithairene.g2025@vitstudent.ac.in</t>
  </si>
  <si>
    <t>25BHC1086</t>
  </si>
  <si>
    <t>SARAVANAN KATHIRAVAN</t>
  </si>
  <si>
    <t>kathiravan.s2025@vitstudent.ac.in</t>
  </si>
  <si>
    <t>SENT (2026-08-26 17:55:27)</t>
  </si>
  <si>
    <t>BHE</t>
  </si>
  <si>
    <t>25BHE1002</t>
  </si>
  <si>
    <t>AKHIL PAWAR</t>
  </si>
  <si>
    <t>SSL</t>
  </si>
  <si>
    <t>akhil.pawar2025@vitstudent.ac.in</t>
  </si>
  <si>
    <t>25BHE1034</t>
  </si>
  <si>
    <t>R VIPIN</t>
  </si>
  <si>
    <t>vipin.r2025@vitstudent.ac.in</t>
  </si>
  <si>
    <t>SENT (2026-08-26 17:55:28)</t>
  </si>
  <si>
    <t>25BHE1040</t>
  </si>
  <si>
    <t>AVANTHIKA V</t>
  </si>
  <si>
    <t>avanthika.v2025@vitstudent.ac.in</t>
  </si>
  <si>
    <t>SENT (2026-08-26 17:55:39)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</si>
</sst>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 h:mm"/>
    <numFmt numFmtId="165" formatCode="dd-mmm-yyyy"/>
  </numFmts>
  <fonts count="4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  <scheme val="minor"/>
    </font>
    <font>
      <u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164" xfId="0" applyAlignment="1" applyBorder="1" applyFont="1" applyNumberForma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32" displayName="Table1" name="Table1" id="1">
  <tableColumns count="11">
    <tableColumn name="Programme" id="1"/>
    <tableColumn name="Register No" id="2"/>
    <tableColumn name="Name" id="3"/>
    <tableColumn name="School" id="4"/>
    <tableColumn name="Course Mode" id="5"/>
    <tableColumn name="Course Registered Status" id="6"/>
    <tableColumn name="Email" id="7"/>
    <tableColumn name="Mob No" id="8"/>
    <tableColumn name="Registered TimeStamp" id="9"/>
    <tableColumn name="Attendance Date" id="10"/>
    <tableColumn name="Status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amyuktha.r2025@vitstudent.ac.in" TargetMode="External"/><Relationship Id="rId42" Type="http://schemas.openxmlformats.org/officeDocument/2006/relationships/hyperlink" Target="mailto:yogeshprasanth.a2025@vitstudent.ac.in" TargetMode="External"/><Relationship Id="rId41" Type="http://schemas.openxmlformats.org/officeDocument/2006/relationships/hyperlink" Target="mailto:vedhikaraghavi.p2025@vitstudent.ac.in" TargetMode="External"/><Relationship Id="rId44" Type="http://schemas.openxmlformats.org/officeDocument/2006/relationships/hyperlink" Target="mailto:thirumukilan.es2025@vitstudent.ac.in" TargetMode="External"/><Relationship Id="rId43" Type="http://schemas.openxmlformats.org/officeDocument/2006/relationships/hyperlink" Target="mailto:kamalnath.v2025@vitstudent.ac.in" TargetMode="External"/><Relationship Id="rId46" Type="http://schemas.openxmlformats.org/officeDocument/2006/relationships/hyperlink" Target="mailto:saiakshtih.g2025@vitstudent.ac.in" TargetMode="External"/><Relationship Id="rId45" Type="http://schemas.openxmlformats.org/officeDocument/2006/relationships/hyperlink" Target="mailto:bagavanthraam.g2025@vitstudent.ac.in" TargetMode="External"/><Relationship Id="rId107" Type="http://schemas.openxmlformats.org/officeDocument/2006/relationships/hyperlink" Target="mailto:harini.k2025@vitstudent.ac.in" TargetMode="External"/><Relationship Id="rId106" Type="http://schemas.openxmlformats.org/officeDocument/2006/relationships/hyperlink" Target="mailto:vijayakumar.r2025@vitstudent.ac.in" TargetMode="External"/><Relationship Id="rId105" Type="http://schemas.openxmlformats.org/officeDocument/2006/relationships/hyperlink" Target="mailto:haran.sm2025@vitstudent.ac.in" TargetMode="External"/><Relationship Id="rId104" Type="http://schemas.openxmlformats.org/officeDocument/2006/relationships/hyperlink" Target="mailto:shreyasi.r2025@vitstudent.ac.in" TargetMode="External"/><Relationship Id="rId109" Type="http://schemas.openxmlformats.org/officeDocument/2006/relationships/hyperlink" Target="mailto:niveditaa.lr2025@vitstudent.ac.in" TargetMode="External"/><Relationship Id="rId108" Type="http://schemas.openxmlformats.org/officeDocument/2006/relationships/hyperlink" Target="mailto:sarveshnaarayan.v2025@vitstudent.ac.in" TargetMode="External"/><Relationship Id="rId48" Type="http://schemas.openxmlformats.org/officeDocument/2006/relationships/hyperlink" Target="mailto:saimanindhira.ra2025@vitstudent.ac.in" TargetMode="External"/><Relationship Id="rId47" Type="http://schemas.openxmlformats.org/officeDocument/2006/relationships/hyperlink" Target="mailto:rahul.nathan2025@vitstudent.ac.in" TargetMode="External"/><Relationship Id="rId49" Type="http://schemas.openxmlformats.org/officeDocument/2006/relationships/hyperlink" Target="mailto:eric.manoj2025@vitstudent.ac.in" TargetMode="External"/><Relationship Id="rId103" Type="http://schemas.openxmlformats.org/officeDocument/2006/relationships/hyperlink" Target="mailto:mohamedmahin.s2025@vitstudent.ac.in" TargetMode="External"/><Relationship Id="rId102" Type="http://schemas.openxmlformats.org/officeDocument/2006/relationships/hyperlink" Target="mailto:ragavi.va2025@vitstudent.ac.in" TargetMode="External"/><Relationship Id="rId101" Type="http://schemas.openxmlformats.org/officeDocument/2006/relationships/hyperlink" Target="mailto:ashitha.venkatesh2025@vitstudent.ac.in" TargetMode="External"/><Relationship Id="rId100" Type="http://schemas.openxmlformats.org/officeDocument/2006/relationships/hyperlink" Target="mailto:ishpreet.singh2025@vitstudent.ac.in" TargetMode="External"/><Relationship Id="rId31" Type="http://schemas.openxmlformats.org/officeDocument/2006/relationships/hyperlink" Target="mailto:gurudineshaa.s2025@vitstudent.ac.in" TargetMode="External"/><Relationship Id="rId30" Type="http://schemas.openxmlformats.org/officeDocument/2006/relationships/hyperlink" Target="mailto:soorya.v2025@vitstudent.ac.in" TargetMode="External"/><Relationship Id="rId33" Type="http://schemas.openxmlformats.org/officeDocument/2006/relationships/hyperlink" Target="mailto:snowinanto.a2025@vitstudent.ac.in" TargetMode="External"/><Relationship Id="rId32" Type="http://schemas.openxmlformats.org/officeDocument/2006/relationships/hyperlink" Target="mailto:haricharan.k2025@vitstudent.ac.in" TargetMode="External"/><Relationship Id="rId35" Type="http://schemas.openxmlformats.org/officeDocument/2006/relationships/hyperlink" Target="mailto:sreenithin.n2025@vitstudent.ac.in" TargetMode="External"/><Relationship Id="rId34" Type="http://schemas.openxmlformats.org/officeDocument/2006/relationships/hyperlink" Target="mailto:haansinghina.j2025@vitstudent.ac.in" TargetMode="External"/><Relationship Id="rId37" Type="http://schemas.openxmlformats.org/officeDocument/2006/relationships/hyperlink" Target="mailto:sai.ishwar2025@vitstudent.ac.in" TargetMode="External"/><Relationship Id="rId36" Type="http://schemas.openxmlformats.org/officeDocument/2006/relationships/hyperlink" Target="mailto:jatin.vats2025@vitstudent.ac.in" TargetMode="External"/><Relationship Id="rId39" Type="http://schemas.openxmlformats.org/officeDocument/2006/relationships/hyperlink" Target="mailto:raghavendhar.rs2025@vitstudent.ac.in" TargetMode="External"/><Relationship Id="rId38" Type="http://schemas.openxmlformats.org/officeDocument/2006/relationships/hyperlink" Target="mailto:surya.2025a@vitstudent.ac.in" TargetMode="External"/><Relationship Id="rId20" Type="http://schemas.openxmlformats.org/officeDocument/2006/relationships/hyperlink" Target="mailto:tarakeshwar.m2025@vitstudent.ac.in" TargetMode="External"/><Relationship Id="rId22" Type="http://schemas.openxmlformats.org/officeDocument/2006/relationships/hyperlink" Target="mailto:kavinvishnu.jm2025@vitstudent.ac.in" TargetMode="External"/><Relationship Id="rId21" Type="http://schemas.openxmlformats.org/officeDocument/2006/relationships/hyperlink" Target="mailto:kavin.aditiya2025@vitstudent.ac.in" TargetMode="External"/><Relationship Id="rId24" Type="http://schemas.openxmlformats.org/officeDocument/2006/relationships/hyperlink" Target="mailto:adityakrishnan.s2025@vitstudent.ac.in" TargetMode="External"/><Relationship Id="rId23" Type="http://schemas.openxmlformats.org/officeDocument/2006/relationships/hyperlink" Target="mailto:tejit.vj2025@vitstudent.ac.in" TargetMode="External"/><Relationship Id="rId129" Type="http://schemas.openxmlformats.org/officeDocument/2006/relationships/hyperlink" Target="mailto:akhil.pawar2025@vitstudent.ac.in" TargetMode="External"/><Relationship Id="rId128" Type="http://schemas.openxmlformats.org/officeDocument/2006/relationships/hyperlink" Target="mailto:kathiravan.s2025@vitstudent.ac.in" TargetMode="External"/><Relationship Id="rId127" Type="http://schemas.openxmlformats.org/officeDocument/2006/relationships/hyperlink" Target="mailto:dharshithairene.g2025@vitstudent.ac.in" TargetMode="External"/><Relationship Id="rId126" Type="http://schemas.openxmlformats.org/officeDocument/2006/relationships/hyperlink" Target="mailto:karishma.2025@vitstudent.ac.in" TargetMode="External"/><Relationship Id="rId26" Type="http://schemas.openxmlformats.org/officeDocument/2006/relationships/hyperlink" Target="mailto:rohit.p2025a@vitstudent.ac.in" TargetMode="External"/><Relationship Id="rId121" Type="http://schemas.openxmlformats.org/officeDocument/2006/relationships/hyperlink" Target="mailto:kavithran.a2025@vitstudent.ac.in" TargetMode="External"/><Relationship Id="rId25" Type="http://schemas.openxmlformats.org/officeDocument/2006/relationships/hyperlink" Target="mailto:harikeshan.s2025@vitstudent.ac.in" TargetMode="External"/><Relationship Id="rId120" Type="http://schemas.openxmlformats.org/officeDocument/2006/relationships/hyperlink" Target="mailto:prashanth.p2025@vitstudent.ac.in" TargetMode="External"/><Relationship Id="rId28" Type="http://schemas.openxmlformats.org/officeDocument/2006/relationships/hyperlink" Target="mailto:bharath.srinivasan2025@vitstudent.ac.in" TargetMode="External"/><Relationship Id="rId27" Type="http://schemas.openxmlformats.org/officeDocument/2006/relationships/hyperlink" Target="mailto:ravinaash.eg2025@vitstudent.ac.in" TargetMode="External"/><Relationship Id="rId125" Type="http://schemas.openxmlformats.org/officeDocument/2006/relationships/hyperlink" Target="mailto:sivasubramonian.k2025@vitstudent.ac.in" TargetMode="External"/><Relationship Id="rId29" Type="http://schemas.openxmlformats.org/officeDocument/2006/relationships/hyperlink" Target="mailto:vijay.g2025@vitstudent.ac.in" TargetMode="External"/><Relationship Id="rId124" Type="http://schemas.openxmlformats.org/officeDocument/2006/relationships/hyperlink" Target="mailto:siddarth.m2025@vitstudent.ac.in" TargetMode="External"/><Relationship Id="rId123" Type="http://schemas.openxmlformats.org/officeDocument/2006/relationships/hyperlink" Target="mailto:shalini.rajasekaran2025@vitstudent.ac.in" TargetMode="External"/><Relationship Id="rId122" Type="http://schemas.openxmlformats.org/officeDocument/2006/relationships/hyperlink" Target="mailto:timpleshree.s2025@vitstudent.ac.in" TargetMode="External"/><Relationship Id="rId95" Type="http://schemas.openxmlformats.org/officeDocument/2006/relationships/hyperlink" Target="mailto:dhanvantri.vs2025@vitstudent.ac.in" TargetMode="External"/><Relationship Id="rId94" Type="http://schemas.openxmlformats.org/officeDocument/2006/relationships/hyperlink" Target="mailto:chantherkanth.d2025@vitstudent.ac.in" TargetMode="External"/><Relationship Id="rId97" Type="http://schemas.openxmlformats.org/officeDocument/2006/relationships/hyperlink" Target="mailto:richeetha.tv2024@vitstudent.ac.in" TargetMode="External"/><Relationship Id="rId96" Type="http://schemas.openxmlformats.org/officeDocument/2006/relationships/hyperlink" Target="mailto:ashwin.r2025a@vitstudent.ac.in" TargetMode="External"/><Relationship Id="rId11" Type="http://schemas.openxmlformats.org/officeDocument/2006/relationships/hyperlink" Target="mailto:jwala.sriharsha2025@vitstudent.ac.in" TargetMode="External"/><Relationship Id="rId99" Type="http://schemas.openxmlformats.org/officeDocument/2006/relationships/hyperlink" Target="mailto:sanjithaa.j2025@vitstudent.ac.in" TargetMode="External"/><Relationship Id="rId10" Type="http://schemas.openxmlformats.org/officeDocument/2006/relationships/hyperlink" Target="mailto:arun.mpalaniappan2025@vitstudent.ac.in" TargetMode="External"/><Relationship Id="rId98" Type="http://schemas.openxmlformats.org/officeDocument/2006/relationships/hyperlink" Target="mailto:iniyan.i2024@vitstudent.ac.in" TargetMode="External"/><Relationship Id="rId13" Type="http://schemas.openxmlformats.org/officeDocument/2006/relationships/hyperlink" Target="mailto:surya.r2025@vitstudent.ac.in" TargetMode="External"/><Relationship Id="rId12" Type="http://schemas.openxmlformats.org/officeDocument/2006/relationships/hyperlink" Target="mailto:mohammed.nadeem2025@vitstudent.ac.in" TargetMode="External"/><Relationship Id="rId91" Type="http://schemas.openxmlformats.org/officeDocument/2006/relationships/hyperlink" Target="mailto:sakthidhitchanya.ks2025@vitstudent.ac.in" TargetMode="External"/><Relationship Id="rId90" Type="http://schemas.openxmlformats.org/officeDocument/2006/relationships/hyperlink" Target="mailto:lithesh.p2025@vitstudent.ac.in" TargetMode="External"/><Relationship Id="rId93" Type="http://schemas.openxmlformats.org/officeDocument/2006/relationships/hyperlink" Target="mailto:jeyrakshan.s2025@vitstudent.ac.in" TargetMode="External"/><Relationship Id="rId92" Type="http://schemas.openxmlformats.org/officeDocument/2006/relationships/hyperlink" Target="mailto:arjun.sn2025@vitstudent.ac.in" TargetMode="External"/><Relationship Id="rId118" Type="http://schemas.openxmlformats.org/officeDocument/2006/relationships/hyperlink" Target="mailto:navaneethakrishna.2025@vitstudent.ac.in" TargetMode="External"/><Relationship Id="rId117" Type="http://schemas.openxmlformats.org/officeDocument/2006/relationships/hyperlink" Target="mailto:ashwin.v2025a@vitstudent.ac.in" TargetMode="External"/><Relationship Id="rId116" Type="http://schemas.openxmlformats.org/officeDocument/2006/relationships/hyperlink" Target="mailto:vibhooshana.2025@vitstudent.ac.in" TargetMode="External"/><Relationship Id="rId115" Type="http://schemas.openxmlformats.org/officeDocument/2006/relationships/hyperlink" Target="mailto:aathithya.m2025@vitstudent.ac.in" TargetMode="External"/><Relationship Id="rId119" Type="http://schemas.openxmlformats.org/officeDocument/2006/relationships/hyperlink" Target="mailto:avantika.nair2025@vitstudent.ac.in" TargetMode="External"/><Relationship Id="rId15" Type="http://schemas.openxmlformats.org/officeDocument/2006/relationships/hyperlink" Target="mailto:kaneeshkar.v2025@vitstudent.ac.in" TargetMode="External"/><Relationship Id="rId110" Type="http://schemas.openxmlformats.org/officeDocument/2006/relationships/hyperlink" Target="mailto:arul.2025@vitstudent.ac.in" TargetMode="External"/><Relationship Id="rId14" Type="http://schemas.openxmlformats.org/officeDocument/2006/relationships/hyperlink" Target="mailto:medini.a2025@vitstudent.ac.in" TargetMode="External"/><Relationship Id="rId17" Type="http://schemas.openxmlformats.org/officeDocument/2006/relationships/hyperlink" Target="mailto:aathish.t2025@vitstudent.ac.in" TargetMode="External"/><Relationship Id="rId16" Type="http://schemas.openxmlformats.org/officeDocument/2006/relationships/hyperlink" Target="mailto:doragallu.sai2025@vitstudent.ac.in" TargetMode="External"/><Relationship Id="rId19" Type="http://schemas.openxmlformats.org/officeDocument/2006/relationships/hyperlink" Target="mailto:rishika.e2025@vitstudent.ac.in" TargetMode="External"/><Relationship Id="rId114" Type="http://schemas.openxmlformats.org/officeDocument/2006/relationships/hyperlink" Target="mailto:laya.vivek2025@vitstudent.ac.in" TargetMode="External"/><Relationship Id="rId18" Type="http://schemas.openxmlformats.org/officeDocument/2006/relationships/hyperlink" Target="mailto:balaganesh.v2025@vitstudent.ac.in" TargetMode="External"/><Relationship Id="rId113" Type="http://schemas.openxmlformats.org/officeDocument/2006/relationships/hyperlink" Target="mailto:heteshprasanna.dj2025@vitstudent.ac.in" TargetMode="External"/><Relationship Id="rId112" Type="http://schemas.openxmlformats.org/officeDocument/2006/relationships/hyperlink" Target="mailto:anunitha.m2025@vitstudent.ac.in" TargetMode="External"/><Relationship Id="rId111" Type="http://schemas.openxmlformats.org/officeDocument/2006/relationships/hyperlink" Target="mailto:siddharth.ramesh2025@vitstudent.ac.in" TargetMode="External"/><Relationship Id="rId84" Type="http://schemas.openxmlformats.org/officeDocument/2006/relationships/hyperlink" Target="mailto:adhira.r2025@vitstudent.ac.in" TargetMode="External"/><Relationship Id="rId83" Type="http://schemas.openxmlformats.org/officeDocument/2006/relationships/hyperlink" Target="mailto:amruthsai.v2025@vitstudent.ac.in" TargetMode="External"/><Relationship Id="rId86" Type="http://schemas.openxmlformats.org/officeDocument/2006/relationships/hyperlink" Target="mailto:promotth.m2025@vitstudent.ac.in" TargetMode="External"/><Relationship Id="rId85" Type="http://schemas.openxmlformats.org/officeDocument/2006/relationships/hyperlink" Target="mailto:somnath.t2025@vitstudent.ac.in" TargetMode="External"/><Relationship Id="rId88" Type="http://schemas.openxmlformats.org/officeDocument/2006/relationships/hyperlink" Target="mailto:kausiharam.s2025@vitstudent.ac.in" TargetMode="External"/><Relationship Id="rId87" Type="http://schemas.openxmlformats.org/officeDocument/2006/relationships/hyperlink" Target="mailto:chriskenith.j2025@vitstudent.ac.in" TargetMode="External"/><Relationship Id="rId89" Type="http://schemas.openxmlformats.org/officeDocument/2006/relationships/hyperlink" Target="mailto:shyamsundar.s2025@vitstudent.ac.in" TargetMode="External"/><Relationship Id="rId80" Type="http://schemas.openxmlformats.org/officeDocument/2006/relationships/hyperlink" Target="mailto:vaibhav.mukundan2025@vitstudent.ac.in" TargetMode="External"/><Relationship Id="rId82" Type="http://schemas.openxmlformats.org/officeDocument/2006/relationships/hyperlink" Target="mailto:sasaanksreenivas.a2025@vitstudent.ac.in" TargetMode="External"/><Relationship Id="rId81" Type="http://schemas.openxmlformats.org/officeDocument/2006/relationships/hyperlink" Target="mailto:shriaishwarya.m2025@vitstudent.ac.in" TargetMode="External"/><Relationship Id="rId1" Type="http://schemas.openxmlformats.org/officeDocument/2006/relationships/hyperlink" Target="mailto:surendar.s2025@vitstudent.ac.in" TargetMode="External"/><Relationship Id="rId2" Type="http://schemas.openxmlformats.org/officeDocument/2006/relationships/hyperlink" Target="mailto:prajith.b2025@vitstudent.ac.in" TargetMode="External"/><Relationship Id="rId3" Type="http://schemas.openxmlformats.org/officeDocument/2006/relationships/hyperlink" Target="mailto:sachin.v2025@vitstudent.ac.in" TargetMode="External"/><Relationship Id="rId4" Type="http://schemas.openxmlformats.org/officeDocument/2006/relationships/hyperlink" Target="mailto:sivish.lk2025@vitstudent.ac.in" TargetMode="External"/><Relationship Id="rId9" Type="http://schemas.openxmlformats.org/officeDocument/2006/relationships/hyperlink" Target="mailto:sakthisundar.m2025@vitstudent.ac.in" TargetMode="External"/><Relationship Id="rId5" Type="http://schemas.openxmlformats.org/officeDocument/2006/relationships/hyperlink" Target="mailto:ahanvenkatesh.a2025@vitstudent.ac.in" TargetMode="External"/><Relationship Id="rId6" Type="http://schemas.openxmlformats.org/officeDocument/2006/relationships/hyperlink" Target="mailto:vaibhav.gopinath2025@vitstudent.ac.in" TargetMode="External"/><Relationship Id="rId7" Type="http://schemas.openxmlformats.org/officeDocument/2006/relationships/hyperlink" Target="mailto:mithulraswanth.a2025a@vitstudent.ac.in" TargetMode="External"/><Relationship Id="rId8" Type="http://schemas.openxmlformats.org/officeDocument/2006/relationships/hyperlink" Target="mailto:dhananjai.r2025@vitstudent.ac.in" TargetMode="External"/><Relationship Id="rId73" Type="http://schemas.openxmlformats.org/officeDocument/2006/relationships/hyperlink" Target="mailto:abienav.saiju2025@vitstudent.ac.in" TargetMode="External"/><Relationship Id="rId72" Type="http://schemas.openxmlformats.org/officeDocument/2006/relationships/hyperlink" Target="mailto:kavibharati.ks2025@vitstudent.ac.in" TargetMode="External"/><Relationship Id="rId75" Type="http://schemas.openxmlformats.org/officeDocument/2006/relationships/hyperlink" Target="mailto:magalakshmi.d2025@vitstudent.ac.in" TargetMode="External"/><Relationship Id="rId74" Type="http://schemas.openxmlformats.org/officeDocument/2006/relationships/hyperlink" Target="mailto:prisha.k2025@vitstudent.ac.in" TargetMode="External"/><Relationship Id="rId77" Type="http://schemas.openxmlformats.org/officeDocument/2006/relationships/hyperlink" Target="mailto:shreyans.s2025@vitstudent.ac.in" TargetMode="External"/><Relationship Id="rId76" Type="http://schemas.openxmlformats.org/officeDocument/2006/relationships/hyperlink" Target="mailto:robert.pandian2025@vitstudent.ac.in" TargetMode="External"/><Relationship Id="rId79" Type="http://schemas.openxmlformats.org/officeDocument/2006/relationships/hyperlink" Target="mailto:abijitprakash.a2025@vitstudent.ac.in" TargetMode="External"/><Relationship Id="rId78" Type="http://schemas.openxmlformats.org/officeDocument/2006/relationships/hyperlink" Target="mailto:venkatavishnu.v2025@vitstudent.ac.in" TargetMode="External"/><Relationship Id="rId71" Type="http://schemas.openxmlformats.org/officeDocument/2006/relationships/hyperlink" Target="mailto:santhoshbabu.n2025@vitstudent.ac.in" TargetMode="External"/><Relationship Id="rId70" Type="http://schemas.openxmlformats.org/officeDocument/2006/relationships/hyperlink" Target="mailto:nithila.ganesan2025@vitstudent.ac.in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mailto:avanthika.v2025@vitstudent.ac.in" TargetMode="External"/><Relationship Id="rId130" Type="http://schemas.openxmlformats.org/officeDocument/2006/relationships/hyperlink" Target="mailto:vipin.r2025@vitstudent.ac.in" TargetMode="External"/><Relationship Id="rId134" Type="http://schemas.openxmlformats.org/officeDocument/2006/relationships/table" Target="../tables/table1.xml"/><Relationship Id="rId62" Type="http://schemas.openxmlformats.org/officeDocument/2006/relationships/hyperlink" Target="mailto:padmesh.bj2025@vitstudent.ac.in" TargetMode="External"/><Relationship Id="rId61" Type="http://schemas.openxmlformats.org/officeDocument/2006/relationships/hyperlink" Target="mailto:nakshatra.r2025@vitstudent.ac.in" TargetMode="External"/><Relationship Id="rId64" Type="http://schemas.openxmlformats.org/officeDocument/2006/relationships/hyperlink" Target="mailto:niranjana.pb2025@vitstudent.ac.in" TargetMode="External"/><Relationship Id="rId63" Type="http://schemas.openxmlformats.org/officeDocument/2006/relationships/hyperlink" Target="mailto:ryan.a2025@vitstudent.ac.in" TargetMode="External"/><Relationship Id="rId66" Type="http://schemas.openxmlformats.org/officeDocument/2006/relationships/hyperlink" Target="mailto:vikranthbalasubram.2025@vitstudent.ac.in" TargetMode="External"/><Relationship Id="rId65" Type="http://schemas.openxmlformats.org/officeDocument/2006/relationships/hyperlink" Target="mailto:jashwanth.2025@vitstudent.ac.in" TargetMode="External"/><Relationship Id="rId68" Type="http://schemas.openxmlformats.org/officeDocument/2006/relationships/hyperlink" Target="mailto:thejasri.r2025@vitstudent.ac.in" TargetMode="External"/><Relationship Id="rId67" Type="http://schemas.openxmlformats.org/officeDocument/2006/relationships/hyperlink" Target="mailto:haripriya.k2025a@vitstudent.ac.in" TargetMode="External"/><Relationship Id="rId60" Type="http://schemas.openxmlformats.org/officeDocument/2006/relationships/hyperlink" Target="mailto:karishma.s2025a@vitstudent.ac.in" TargetMode="External"/><Relationship Id="rId69" Type="http://schemas.openxmlformats.org/officeDocument/2006/relationships/hyperlink" Target="mailto:jayesh.mk2025@vitstudent.ac.in" TargetMode="External"/><Relationship Id="rId51" Type="http://schemas.openxmlformats.org/officeDocument/2006/relationships/hyperlink" Target="mailto:apurvaa.aravind2025@vitstudent.ac.in" TargetMode="External"/><Relationship Id="rId50" Type="http://schemas.openxmlformats.org/officeDocument/2006/relationships/hyperlink" Target="mailto:yuvanesh.k2025@vitstudent.ac.in" TargetMode="External"/><Relationship Id="rId53" Type="http://schemas.openxmlformats.org/officeDocument/2006/relationships/hyperlink" Target="mailto:saran.sv2025@vitstudent.ac.in" TargetMode="External"/><Relationship Id="rId52" Type="http://schemas.openxmlformats.org/officeDocument/2006/relationships/hyperlink" Target="mailto:dheerajsanjay.j2025@vitstudent.ac.in" TargetMode="External"/><Relationship Id="rId55" Type="http://schemas.openxmlformats.org/officeDocument/2006/relationships/hyperlink" Target="mailto:sanjaya.s2025@vitstudent.ac.in" TargetMode="External"/><Relationship Id="rId54" Type="http://schemas.openxmlformats.org/officeDocument/2006/relationships/hyperlink" Target="mailto:magdalenenikitha.m2025@vitstudent.ac.in" TargetMode="External"/><Relationship Id="rId57" Type="http://schemas.openxmlformats.org/officeDocument/2006/relationships/hyperlink" Target="mailto:subasri.2025@vitstudent.ac.in" TargetMode="External"/><Relationship Id="rId56" Type="http://schemas.openxmlformats.org/officeDocument/2006/relationships/hyperlink" Target="mailto:aadarshsrinath.s2025@vitstudent.ac.in" TargetMode="External"/><Relationship Id="rId59" Type="http://schemas.openxmlformats.org/officeDocument/2006/relationships/hyperlink" Target="mailto:yathra.2025@vitstudent.ac.in" TargetMode="External"/><Relationship Id="rId58" Type="http://schemas.openxmlformats.org/officeDocument/2006/relationships/hyperlink" Target="mailto:roshini.prabhakar2025@vitstuden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5.13"/>
    <col customWidth="1" min="3" max="3" width="38.88"/>
    <col customWidth="1" min="4" max="4" width="14.38"/>
    <col customWidth="1" min="5" max="5" width="19.75"/>
    <col customWidth="1" min="6" max="6" width="26.5"/>
    <col customWidth="1" min="7" max="7" width="37.25"/>
    <col customWidth="1" min="8" max="8" width="15.13"/>
    <col customWidth="1" min="9" max="9" width="27.38"/>
    <col customWidth="1" min="10" max="10" width="22.38"/>
    <col customWidth="1" min="11" max="11" width="2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22.5" customHeight="1">
      <c r="A2" s="3" t="s">
        <v>11</v>
      </c>
      <c r="B2" s="4" t="s">
        <v>12</v>
      </c>
      <c r="C2" s="4" t="s">
        <v>13</v>
      </c>
      <c r="D2" s="3" t="s">
        <v>14</v>
      </c>
      <c r="E2" s="3" t="s">
        <v>15</v>
      </c>
      <c r="F2" s="4" t="s">
        <v>16</v>
      </c>
      <c r="G2" s="5" t="s">
        <v>17</v>
      </c>
      <c r="H2" s="6">
        <v>9.632650576E9</v>
      </c>
      <c r="I2" s="7">
        <v>46238.44375</v>
      </c>
      <c r="J2" s="8">
        <v>46239.0</v>
      </c>
      <c r="K2" s="9" t="s">
        <v>18</v>
      </c>
      <c r="M2" s="10">
        <f>+919945337857</f>
        <v>919945337857</v>
      </c>
      <c r="O2" s="10" t="str">
        <f t="shared" ref="O2:O132" si="1">IF(M2="","",IF(COUNTIF($H:$H,VALUE(RIGHT(M2,10)))&gt;0,"PRESENT","NOT PRESENT"))</f>
        <v>PRESENT</v>
      </c>
    </row>
    <row r="3" ht="22.5" customHeight="1">
      <c r="A3" s="3" t="s">
        <v>11</v>
      </c>
      <c r="B3" s="4" t="s">
        <v>19</v>
      </c>
      <c r="C3" s="4" t="s">
        <v>20</v>
      </c>
      <c r="D3" s="3" t="s">
        <v>14</v>
      </c>
      <c r="E3" s="3" t="s">
        <v>15</v>
      </c>
      <c r="F3" s="4" t="s">
        <v>16</v>
      </c>
      <c r="G3" s="5" t="s">
        <v>21</v>
      </c>
      <c r="H3" s="6">
        <v>6.381264988E9</v>
      </c>
      <c r="I3" s="7">
        <v>46238.45138888889</v>
      </c>
      <c r="J3" s="8">
        <v>46239.0</v>
      </c>
      <c r="K3" s="9" t="s">
        <v>18</v>
      </c>
      <c r="O3" s="10" t="str">
        <f t="shared" si="1"/>
        <v/>
      </c>
    </row>
    <row r="4" ht="22.5" customHeight="1">
      <c r="A4" s="3" t="s">
        <v>11</v>
      </c>
      <c r="B4" s="4" t="s">
        <v>22</v>
      </c>
      <c r="C4" s="4" t="s">
        <v>23</v>
      </c>
      <c r="D4" s="3" t="s">
        <v>14</v>
      </c>
      <c r="E4" s="3" t="s">
        <v>15</v>
      </c>
      <c r="F4" s="4" t="s">
        <v>16</v>
      </c>
      <c r="G4" s="5" t="s">
        <v>24</v>
      </c>
      <c r="H4" s="6">
        <v>9.945337857E9</v>
      </c>
      <c r="I4" s="7">
        <v>46238.45138888889</v>
      </c>
      <c r="J4" s="8">
        <v>46239.0</v>
      </c>
      <c r="K4" s="9" t="s">
        <v>18</v>
      </c>
      <c r="M4" s="10">
        <f>+919600032764</f>
        <v>919600032764</v>
      </c>
      <c r="O4" s="10" t="str">
        <f t="shared" si="1"/>
        <v>PRESENT</v>
      </c>
    </row>
    <row r="5" ht="22.5" customHeight="1">
      <c r="A5" s="3" t="s">
        <v>11</v>
      </c>
      <c r="B5" s="4" t="s">
        <v>25</v>
      </c>
      <c r="C5" s="4" t="s">
        <v>26</v>
      </c>
      <c r="D5" s="3" t="s">
        <v>14</v>
      </c>
      <c r="E5" s="3" t="s">
        <v>15</v>
      </c>
      <c r="F5" s="4" t="s">
        <v>16</v>
      </c>
      <c r="G5" s="5" t="s">
        <v>27</v>
      </c>
      <c r="H5" s="6">
        <v>8.75464633E9</v>
      </c>
      <c r="I5" s="7">
        <v>46238.45694444444</v>
      </c>
      <c r="J5" s="8">
        <v>46239.0</v>
      </c>
      <c r="K5" s="9" t="s">
        <v>28</v>
      </c>
      <c r="O5" s="10" t="str">
        <f t="shared" si="1"/>
        <v/>
      </c>
    </row>
    <row r="6" ht="22.5" customHeight="1">
      <c r="A6" s="3" t="s">
        <v>11</v>
      </c>
      <c r="B6" s="4" t="s">
        <v>29</v>
      </c>
      <c r="C6" s="4" t="s">
        <v>30</v>
      </c>
      <c r="D6" s="3" t="s">
        <v>14</v>
      </c>
      <c r="E6" s="3" t="s">
        <v>15</v>
      </c>
      <c r="F6" s="4" t="s">
        <v>16</v>
      </c>
      <c r="G6" s="5" t="s">
        <v>31</v>
      </c>
      <c r="H6" s="6">
        <v>9.445931616E9</v>
      </c>
      <c r="I6" s="7">
        <v>46238.44930555556</v>
      </c>
      <c r="J6" s="8">
        <v>46239.0</v>
      </c>
      <c r="K6" s="9" t="s">
        <v>28</v>
      </c>
      <c r="M6" s="10">
        <f>+919444200058</f>
        <v>919444200058</v>
      </c>
      <c r="O6" s="10" t="str">
        <f t="shared" si="1"/>
        <v>PRESENT</v>
      </c>
    </row>
    <row r="7" ht="22.5" customHeight="1">
      <c r="A7" s="3" t="s">
        <v>11</v>
      </c>
      <c r="B7" s="4" t="s">
        <v>32</v>
      </c>
      <c r="C7" s="4" t="s">
        <v>33</v>
      </c>
      <c r="D7" s="3" t="s">
        <v>14</v>
      </c>
      <c r="E7" s="3" t="s">
        <v>15</v>
      </c>
      <c r="F7" s="4" t="s">
        <v>16</v>
      </c>
      <c r="G7" s="5" t="s">
        <v>34</v>
      </c>
      <c r="H7" s="6">
        <v>9.600032764E9</v>
      </c>
      <c r="I7" s="7">
        <v>46238.450694444444</v>
      </c>
      <c r="J7" s="8">
        <v>46239.0</v>
      </c>
      <c r="K7" s="9" t="s">
        <v>35</v>
      </c>
      <c r="O7" s="10" t="str">
        <f t="shared" si="1"/>
        <v/>
      </c>
    </row>
    <row r="8" ht="22.5" customHeight="1">
      <c r="A8" s="3" t="s">
        <v>11</v>
      </c>
      <c r="B8" s="4" t="s">
        <v>36</v>
      </c>
      <c r="C8" s="4" t="s">
        <v>37</v>
      </c>
      <c r="D8" s="3" t="s">
        <v>14</v>
      </c>
      <c r="E8" s="3" t="s">
        <v>15</v>
      </c>
      <c r="F8" s="4" t="s">
        <v>16</v>
      </c>
      <c r="G8" s="5" t="s">
        <v>38</v>
      </c>
      <c r="H8" s="6">
        <v>7.806880209E9</v>
      </c>
      <c r="I8" s="7">
        <v>46238.45416666667</v>
      </c>
      <c r="J8" s="8">
        <v>46239.0</v>
      </c>
      <c r="K8" s="9" t="s">
        <v>39</v>
      </c>
      <c r="M8" s="10">
        <f>+919597928173</f>
        <v>919597928173</v>
      </c>
      <c r="O8" s="10" t="str">
        <f t="shared" si="1"/>
        <v>PRESENT</v>
      </c>
    </row>
    <row r="9" ht="22.5" customHeight="1">
      <c r="A9" s="3" t="s">
        <v>40</v>
      </c>
      <c r="B9" s="4" t="s">
        <v>41</v>
      </c>
      <c r="C9" s="4" t="s">
        <v>42</v>
      </c>
      <c r="D9" s="3" t="s">
        <v>14</v>
      </c>
      <c r="E9" s="3" t="s">
        <v>15</v>
      </c>
      <c r="F9" s="4" t="s">
        <v>16</v>
      </c>
      <c r="G9" s="5" t="s">
        <v>43</v>
      </c>
      <c r="H9" s="6">
        <v>9.444200058E9</v>
      </c>
      <c r="I9" s="7">
        <v>46238.45277777778</v>
      </c>
      <c r="J9" s="8">
        <v>46239.0</v>
      </c>
      <c r="K9" s="9" t="s">
        <v>39</v>
      </c>
      <c r="O9" s="10" t="str">
        <f t="shared" si="1"/>
        <v/>
      </c>
    </row>
    <row r="10" ht="22.5" customHeight="1">
      <c r="A10" s="3" t="s">
        <v>40</v>
      </c>
      <c r="B10" s="4" t="s">
        <v>44</v>
      </c>
      <c r="C10" s="4" t="s">
        <v>45</v>
      </c>
      <c r="D10" s="3" t="s">
        <v>14</v>
      </c>
      <c r="E10" s="3" t="s">
        <v>15</v>
      </c>
      <c r="F10" s="4" t="s">
        <v>16</v>
      </c>
      <c r="G10" s="5" t="s">
        <v>46</v>
      </c>
      <c r="H10" s="6">
        <v>9.597928173E9</v>
      </c>
      <c r="I10" s="7">
        <v>46238.45208333333</v>
      </c>
      <c r="J10" s="8">
        <v>46239.0</v>
      </c>
      <c r="K10" s="9" t="s">
        <v>47</v>
      </c>
      <c r="M10" s="10">
        <f>+919493427370</f>
        <v>919493427370</v>
      </c>
      <c r="O10" s="10" t="str">
        <f t="shared" si="1"/>
        <v>PRESENT</v>
      </c>
    </row>
    <row r="11" ht="22.5" customHeight="1">
      <c r="A11" s="3" t="s">
        <v>40</v>
      </c>
      <c r="B11" s="4" t="s">
        <v>48</v>
      </c>
      <c r="C11" s="4" t="s">
        <v>49</v>
      </c>
      <c r="D11" s="3" t="s">
        <v>14</v>
      </c>
      <c r="E11" s="3" t="s">
        <v>15</v>
      </c>
      <c r="F11" s="4" t="s">
        <v>16</v>
      </c>
      <c r="G11" s="5" t="s">
        <v>50</v>
      </c>
      <c r="H11" s="6">
        <v>9.04374083E9</v>
      </c>
      <c r="I11" s="7">
        <v>46238.44583333333</v>
      </c>
      <c r="J11" s="8">
        <v>46239.0</v>
      </c>
      <c r="K11" s="9" t="s">
        <v>47</v>
      </c>
      <c r="O11" s="10" t="str">
        <f t="shared" si="1"/>
        <v/>
      </c>
    </row>
    <row r="12" ht="22.5" customHeight="1">
      <c r="A12" s="3" t="s">
        <v>40</v>
      </c>
      <c r="B12" s="4" t="s">
        <v>51</v>
      </c>
      <c r="C12" s="4" t="s">
        <v>52</v>
      </c>
      <c r="D12" s="3" t="s">
        <v>14</v>
      </c>
      <c r="E12" s="3" t="s">
        <v>15</v>
      </c>
      <c r="F12" s="4" t="s">
        <v>16</v>
      </c>
      <c r="G12" s="5" t="s">
        <v>53</v>
      </c>
      <c r="H12" s="6">
        <v>9.49342737E9</v>
      </c>
      <c r="I12" s="7">
        <v>46238.45208333333</v>
      </c>
      <c r="J12" s="8">
        <v>46239.0</v>
      </c>
      <c r="K12" s="9" t="s">
        <v>47</v>
      </c>
      <c r="M12" s="10">
        <f>+919489289248</f>
        <v>919489289248</v>
      </c>
      <c r="O12" s="10" t="str">
        <f t="shared" si="1"/>
        <v>PRESENT</v>
      </c>
    </row>
    <row r="13" ht="22.5" customHeight="1">
      <c r="A13" s="3" t="s">
        <v>40</v>
      </c>
      <c r="B13" s="4" t="s">
        <v>54</v>
      </c>
      <c r="C13" s="4" t="s">
        <v>55</v>
      </c>
      <c r="D13" s="3" t="s">
        <v>14</v>
      </c>
      <c r="E13" s="3" t="s">
        <v>15</v>
      </c>
      <c r="F13" s="4" t="s">
        <v>16</v>
      </c>
      <c r="G13" s="5" t="s">
        <v>56</v>
      </c>
      <c r="H13" s="6">
        <v>9.489289248E9</v>
      </c>
      <c r="I13" s="7">
        <v>46238.450694444444</v>
      </c>
      <c r="J13" s="8">
        <v>46239.0</v>
      </c>
      <c r="K13" s="9" t="s">
        <v>57</v>
      </c>
      <c r="O13" s="10" t="str">
        <f t="shared" si="1"/>
        <v/>
      </c>
    </row>
    <row r="14" ht="22.5" customHeight="1">
      <c r="A14" s="3" t="s">
        <v>40</v>
      </c>
      <c r="B14" s="4" t="s">
        <v>58</v>
      </c>
      <c r="C14" s="4" t="s">
        <v>59</v>
      </c>
      <c r="D14" s="3" t="s">
        <v>14</v>
      </c>
      <c r="E14" s="3" t="s">
        <v>15</v>
      </c>
      <c r="F14" s="4" t="s">
        <v>16</v>
      </c>
      <c r="G14" s="5" t="s">
        <v>60</v>
      </c>
      <c r="H14" s="6">
        <v>9.025381425E9</v>
      </c>
      <c r="I14" s="7">
        <v>46238.447222222225</v>
      </c>
      <c r="J14" s="8">
        <v>46239.0</v>
      </c>
      <c r="K14" s="9" t="s">
        <v>57</v>
      </c>
      <c r="M14" s="10">
        <f>+918870423393</f>
        <v>918870423393</v>
      </c>
      <c r="O14" s="10" t="str">
        <f t="shared" si="1"/>
        <v>PRESENT</v>
      </c>
    </row>
    <row r="15" ht="22.5" customHeight="1">
      <c r="A15" s="3" t="s">
        <v>40</v>
      </c>
      <c r="B15" s="4" t="s">
        <v>61</v>
      </c>
      <c r="C15" s="4" t="s">
        <v>62</v>
      </c>
      <c r="D15" s="3" t="s">
        <v>14</v>
      </c>
      <c r="E15" s="3" t="s">
        <v>15</v>
      </c>
      <c r="F15" s="4" t="s">
        <v>16</v>
      </c>
      <c r="G15" s="5" t="s">
        <v>63</v>
      </c>
      <c r="H15" s="6">
        <v>8.94601869E9</v>
      </c>
      <c r="I15" s="7">
        <v>46238.45972222222</v>
      </c>
      <c r="J15" s="8">
        <v>46239.0</v>
      </c>
      <c r="K15" s="9" t="s">
        <v>64</v>
      </c>
      <c r="O15" s="10" t="str">
        <f t="shared" si="1"/>
        <v/>
      </c>
    </row>
    <row r="16" ht="22.5" customHeight="1">
      <c r="A16" s="3" t="s">
        <v>40</v>
      </c>
      <c r="B16" s="4" t="s">
        <v>65</v>
      </c>
      <c r="C16" s="4" t="s">
        <v>66</v>
      </c>
      <c r="D16" s="3" t="s">
        <v>14</v>
      </c>
      <c r="E16" s="3" t="s">
        <v>15</v>
      </c>
      <c r="F16" s="4" t="s">
        <v>16</v>
      </c>
      <c r="G16" s="5" t="s">
        <v>67</v>
      </c>
      <c r="H16" s="6">
        <v>8.610539781E9</v>
      </c>
      <c r="I16" s="7">
        <v>46238.44583333333</v>
      </c>
      <c r="J16" s="8">
        <v>46239.0</v>
      </c>
      <c r="K16" s="9" t="s">
        <v>64</v>
      </c>
      <c r="M16" s="10">
        <f>+917348882929</f>
        <v>917348882929</v>
      </c>
      <c r="O16" s="10" t="str">
        <f t="shared" si="1"/>
        <v>PRESENT</v>
      </c>
    </row>
    <row r="17" ht="22.5" customHeight="1">
      <c r="A17" s="3" t="s">
        <v>40</v>
      </c>
      <c r="B17" s="4" t="s">
        <v>68</v>
      </c>
      <c r="C17" s="4" t="s">
        <v>69</v>
      </c>
      <c r="D17" s="3" t="s">
        <v>14</v>
      </c>
      <c r="E17" s="3" t="s">
        <v>15</v>
      </c>
      <c r="F17" s="4" t="s">
        <v>16</v>
      </c>
      <c r="G17" s="5" t="s">
        <v>70</v>
      </c>
      <c r="H17" s="6">
        <v>7.708612684E9</v>
      </c>
      <c r="I17" s="7">
        <v>46238.44652777778</v>
      </c>
      <c r="J17" s="8">
        <v>46239.0</v>
      </c>
      <c r="K17" s="9" t="s">
        <v>71</v>
      </c>
      <c r="O17" s="10" t="str">
        <f t="shared" si="1"/>
        <v/>
      </c>
    </row>
    <row r="18" ht="22.5" customHeight="1">
      <c r="A18" s="3" t="s">
        <v>40</v>
      </c>
      <c r="B18" s="4" t="s">
        <v>72</v>
      </c>
      <c r="C18" s="4" t="s">
        <v>73</v>
      </c>
      <c r="D18" s="3" t="s">
        <v>14</v>
      </c>
      <c r="E18" s="3" t="s">
        <v>15</v>
      </c>
      <c r="F18" s="4" t="s">
        <v>16</v>
      </c>
      <c r="G18" s="5" t="s">
        <v>74</v>
      </c>
      <c r="H18" s="6">
        <v>9.361500455E9</v>
      </c>
      <c r="I18" s="7">
        <v>46238.48402777778</v>
      </c>
      <c r="J18" s="8">
        <v>46239.0</v>
      </c>
      <c r="K18" s="9" t="s">
        <v>71</v>
      </c>
      <c r="M18" s="10">
        <f>+917200446113</f>
        <v>917200446113</v>
      </c>
      <c r="O18" s="10" t="str">
        <f t="shared" si="1"/>
        <v>PRESENT</v>
      </c>
    </row>
    <row r="19" ht="22.5" customHeight="1">
      <c r="A19" s="3" t="s">
        <v>40</v>
      </c>
      <c r="B19" s="4" t="s">
        <v>75</v>
      </c>
      <c r="C19" s="4" t="s">
        <v>76</v>
      </c>
      <c r="D19" s="3" t="s">
        <v>14</v>
      </c>
      <c r="E19" s="3" t="s">
        <v>15</v>
      </c>
      <c r="F19" s="4" t="s">
        <v>16</v>
      </c>
      <c r="G19" s="5" t="s">
        <v>77</v>
      </c>
      <c r="H19" s="6">
        <v>8.088693992E9</v>
      </c>
      <c r="I19" s="7">
        <v>46238.45277777778</v>
      </c>
      <c r="J19" s="8">
        <v>46239.0</v>
      </c>
      <c r="K19" s="9" t="s">
        <v>71</v>
      </c>
      <c r="O19" s="10" t="str">
        <f t="shared" si="1"/>
        <v/>
      </c>
    </row>
    <row r="20" ht="22.5" customHeight="1">
      <c r="A20" s="3" t="s">
        <v>78</v>
      </c>
      <c r="B20" s="4" t="s">
        <v>79</v>
      </c>
      <c r="C20" s="4" t="s">
        <v>80</v>
      </c>
      <c r="D20" s="3" t="s">
        <v>81</v>
      </c>
      <c r="E20" s="3" t="s">
        <v>15</v>
      </c>
      <c r="F20" s="4" t="s">
        <v>16</v>
      </c>
      <c r="G20" s="5" t="s">
        <v>82</v>
      </c>
      <c r="H20" s="6">
        <v>8.42880008E9</v>
      </c>
      <c r="I20" s="7">
        <v>46238.45</v>
      </c>
      <c r="J20" s="8">
        <v>46239.0</v>
      </c>
      <c r="K20" s="9" t="s">
        <v>83</v>
      </c>
      <c r="M20" s="10">
        <f>+918248134018</f>
        <v>918248134018</v>
      </c>
      <c r="O20" s="10" t="str">
        <f t="shared" si="1"/>
        <v>PRESENT</v>
      </c>
    </row>
    <row r="21" ht="22.5" customHeight="1">
      <c r="A21" s="3" t="s">
        <v>78</v>
      </c>
      <c r="B21" s="4" t="s">
        <v>84</v>
      </c>
      <c r="C21" s="4" t="s">
        <v>85</v>
      </c>
      <c r="D21" s="3" t="s">
        <v>81</v>
      </c>
      <c r="E21" s="3" t="s">
        <v>15</v>
      </c>
      <c r="F21" s="4" t="s">
        <v>16</v>
      </c>
      <c r="G21" s="5" t="s">
        <v>86</v>
      </c>
      <c r="H21" s="6">
        <v>9.176787775E9</v>
      </c>
      <c r="I21" s="7">
        <v>46238.44930555556</v>
      </c>
      <c r="J21" s="8">
        <v>46239.0</v>
      </c>
      <c r="K21" s="9" t="s">
        <v>83</v>
      </c>
      <c r="O21" s="10" t="str">
        <f t="shared" si="1"/>
        <v/>
      </c>
    </row>
    <row r="22" ht="22.5" customHeight="1">
      <c r="A22" s="3" t="s">
        <v>87</v>
      </c>
      <c r="B22" s="4" t="s">
        <v>88</v>
      </c>
      <c r="C22" s="4" t="s">
        <v>89</v>
      </c>
      <c r="D22" s="3" t="s">
        <v>81</v>
      </c>
      <c r="E22" s="3" t="s">
        <v>15</v>
      </c>
      <c r="F22" s="4" t="s">
        <v>16</v>
      </c>
      <c r="G22" s="5" t="s">
        <v>90</v>
      </c>
      <c r="H22" s="6">
        <v>9.514125798E9</v>
      </c>
      <c r="I22" s="7">
        <v>46238.513194444444</v>
      </c>
      <c r="J22" s="8">
        <v>46239.0</v>
      </c>
      <c r="K22" s="9" t="s">
        <v>91</v>
      </c>
      <c r="M22" s="10">
        <f>+919080382055</f>
        <v>919080382055</v>
      </c>
      <c r="O22" s="10" t="str">
        <f t="shared" si="1"/>
        <v>PRESENT</v>
      </c>
    </row>
    <row r="23" ht="22.5" customHeight="1">
      <c r="A23" s="3" t="s">
        <v>92</v>
      </c>
      <c r="B23" s="4" t="s">
        <v>93</v>
      </c>
      <c r="C23" s="4" t="s">
        <v>94</v>
      </c>
      <c r="D23" s="3" t="s">
        <v>95</v>
      </c>
      <c r="E23" s="3" t="s">
        <v>15</v>
      </c>
      <c r="F23" s="4" t="s">
        <v>16</v>
      </c>
      <c r="G23" s="5" t="s">
        <v>96</v>
      </c>
      <c r="H23" s="6">
        <v>9.445539416E9</v>
      </c>
      <c r="I23" s="7">
        <v>46238.44305555556</v>
      </c>
      <c r="J23" s="8">
        <v>46239.0</v>
      </c>
      <c r="K23" s="9" t="s">
        <v>91</v>
      </c>
      <c r="O23" s="10" t="str">
        <f t="shared" si="1"/>
        <v/>
      </c>
    </row>
    <row r="24" ht="22.5" customHeight="1">
      <c r="A24" s="3" t="s">
        <v>92</v>
      </c>
      <c r="B24" s="4" t="s">
        <v>97</v>
      </c>
      <c r="C24" s="4" t="s">
        <v>98</v>
      </c>
      <c r="D24" s="3" t="s">
        <v>95</v>
      </c>
      <c r="E24" s="3" t="s">
        <v>15</v>
      </c>
      <c r="F24" s="4" t="s">
        <v>16</v>
      </c>
      <c r="G24" s="5" t="s">
        <v>99</v>
      </c>
      <c r="H24" s="6">
        <v>9.840422326E9</v>
      </c>
      <c r="I24" s="7">
        <v>46238.44513888889</v>
      </c>
      <c r="J24" s="8">
        <v>46239.0</v>
      </c>
      <c r="K24" s="9" t="s">
        <v>100</v>
      </c>
      <c r="M24" s="10">
        <f>+918838592442</f>
        <v>918838592442</v>
      </c>
      <c r="O24" s="10" t="str">
        <f t="shared" si="1"/>
        <v>PRESENT</v>
      </c>
    </row>
    <row r="25" ht="22.5" customHeight="1">
      <c r="A25" s="3" t="s">
        <v>92</v>
      </c>
      <c r="B25" s="4" t="s">
        <v>101</v>
      </c>
      <c r="C25" s="4" t="s">
        <v>102</v>
      </c>
      <c r="D25" s="3" t="s">
        <v>95</v>
      </c>
      <c r="E25" s="3" t="s">
        <v>15</v>
      </c>
      <c r="F25" s="4" t="s">
        <v>16</v>
      </c>
      <c r="G25" s="5" t="s">
        <v>103</v>
      </c>
      <c r="H25" s="6">
        <v>8.667804367E9</v>
      </c>
      <c r="I25" s="7">
        <v>46238.450694444444</v>
      </c>
      <c r="J25" s="8">
        <v>46239.0</v>
      </c>
      <c r="K25" s="9" t="s">
        <v>100</v>
      </c>
      <c r="O25" s="10" t="str">
        <f t="shared" si="1"/>
        <v/>
      </c>
    </row>
    <row r="26" ht="22.5" customHeight="1">
      <c r="A26" s="3" t="s">
        <v>92</v>
      </c>
      <c r="B26" s="4" t="s">
        <v>104</v>
      </c>
      <c r="C26" s="4" t="s">
        <v>105</v>
      </c>
      <c r="D26" s="3" t="s">
        <v>95</v>
      </c>
      <c r="E26" s="3" t="s">
        <v>15</v>
      </c>
      <c r="F26" s="4" t="s">
        <v>16</v>
      </c>
      <c r="G26" s="5" t="s">
        <v>106</v>
      </c>
      <c r="H26" s="6">
        <v>9.02573186E9</v>
      </c>
      <c r="I26" s="7">
        <v>46238.44236111111</v>
      </c>
      <c r="J26" s="8">
        <v>46239.0</v>
      </c>
      <c r="K26" s="9" t="s">
        <v>107</v>
      </c>
      <c r="M26" s="10">
        <f>+917025428928</f>
        <v>917025428928</v>
      </c>
      <c r="O26" s="10" t="str">
        <f t="shared" si="1"/>
        <v>PRESENT</v>
      </c>
    </row>
    <row r="27" ht="22.5" customHeight="1">
      <c r="A27" s="3" t="s">
        <v>92</v>
      </c>
      <c r="B27" s="4" t="s">
        <v>108</v>
      </c>
      <c r="C27" s="4" t="s">
        <v>109</v>
      </c>
      <c r="D27" s="3" t="s">
        <v>95</v>
      </c>
      <c r="E27" s="3" t="s">
        <v>15</v>
      </c>
      <c r="F27" s="4" t="s">
        <v>16</v>
      </c>
      <c r="G27" s="5" t="s">
        <v>110</v>
      </c>
      <c r="H27" s="6">
        <v>8.610515648E9</v>
      </c>
      <c r="I27" s="7">
        <v>46238.45</v>
      </c>
      <c r="J27" s="8">
        <v>46239.0</v>
      </c>
      <c r="K27" s="9" t="s">
        <v>107</v>
      </c>
      <c r="O27" s="10" t="str">
        <f t="shared" si="1"/>
        <v/>
      </c>
    </row>
    <row r="28" ht="22.5" customHeight="1">
      <c r="A28" s="3" t="s">
        <v>92</v>
      </c>
      <c r="B28" s="4" t="s">
        <v>111</v>
      </c>
      <c r="C28" s="4" t="s">
        <v>112</v>
      </c>
      <c r="D28" s="3" t="s">
        <v>95</v>
      </c>
      <c r="E28" s="3" t="s">
        <v>15</v>
      </c>
      <c r="F28" s="4" t="s">
        <v>16</v>
      </c>
      <c r="G28" s="5" t="s">
        <v>113</v>
      </c>
      <c r="H28" s="6">
        <v>8.778409476E9</v>
      </c>
      <c r="I28" s="7">
        <v>46238.444444444445</v>
      </c>
      <c r="J28" s="8">
        <v>46239.0</v>
      </c>
      <c r="K28" s="9" t="s">
        <v>114</v>
      </c>
      <c r="M28" s="10">
        <f>+919443157205</f>
        <v>919443157205</v>
      </c>
      <c r="O28" s="10" t="str">
        <f t="shared" si="1"/>
        <v>PRESENT</v>
      </c>
    </row>
    <row r="29" ht="22.5" customHeight="1">
      <c r="A29" s="3" t="s">
        <v>92</v>
      </c>
      <c r="B29" s="4" t="s">
        <v>115</v>
      </c>
      <c r="C29" s="4" t="s">
        <v>116</v>
      </c>
      <c r="D29" s="3" t="s">
        <v>95</v>
      </c>
      <c r="E29" s="3" t="s">
        <v>15</v>
      </c>
      <c r="F29" s="4" t="s">
        <v>16</v>
      </c>
      <c r="G29" s="5" t="s">
        <v>117</v>
      </c>
      <c r="H29" s="6">
        <v>9.840416917E9</v>
      </c>
      <c r="I29" s="7">
        <v>46238.44930555556</v>
      </c>
      <c r="J29" s="8">
        <v>46239.0</v>
      </c>
      <c r="K29" s="9" t="s">
        <v>114</v>
      </c>
      <c r="O29" s="10" t="str">
        <f t="shared" si="1"/>
        <v/>
      </c>
    </row>
    <row r="30" ht="22.5" customHeight="1">
      <c r="A30" s="3" t="s">
        <v>92</v>
      </c>
      <c r="B30" s="4" t="s">
        <v>118</v>
      </c>
      <c r="C30" s="4" t="s">
        <v>119</v>
      </c>
      <c r="D30" s="3" t="s">
        <v>95</v>
      </c>
      <c r="E30" s="3" t="s">
        <v>15</v>
      </c>
      <c r="F30" s="4" t="s">
        <v>16</v>
      </c>
      <c r="G30" s="5" t="s">
        <v>120</v>
      </c>
      <c r="H30" s="6">
        <v>8.438128046E9</v>
      </c>
      <c r="I30" s="7">
        <v>46238.44930555556</v>
      </c>
      <c r="J30" s="8">
        <v>46239.0</v>
      </c>
      <c r="K30" s="9" t="s">
        <v>114</v>
      </c>
      <c r="M30" s="10">
        <f>+919444244477</f>
        <v>919444244477</v>
      </c>
      <c r="O30" s="10" t="str">
        <f t="shared" si="1"/>
        <v>PRESENT</v>
      </c>
    </row>
    <row r="31" ht="22.5" customHeight="1">
      <c r="A31" s="3" t="s">
        <v>92</v>
      </c>
      <c r="B31" s="4" t="s">
        <v>121</v>
      </c>
      <c r="C31" s="4" t="s">
        <v>122</v>
      </c>
      <c r="D31" s="3" t="s">
        <v>95</v>
      </c>
      <c r="E31" s="3" t="s">
        <v>15</v>
      </c>
      <c r="F31" s="4" t="s">
        <v>16</v>
      </c>
      <c r="G31" s="5" t="s">
        <v>123</v>
      </c>
      <c r="H31" s="6">
        <v>9.791579819E9</v>
      </c>
      <c r="I31" s="7">
        <v>46238.44930555556</v>
      </c>
      <c r="J31" s="8">
        <v>46239.0</v>
      </c>
      <c r="K31" s="9" t="s">
        <v>124</v>
      </c>
      <c r="O31" s="10" t="str">
        <f t="shared" si="1"/>
        <v/>
      </c>
    </row>
    <row r="32" ht="22.5" customHeight="1">
      <c r="A32" s="3" t="s">
        <v>92</v>
      </c>
      <c r="B32" s="4" t="s">
        <v>125</v>
      </c>
      <c r="C32" s="4" t="s">
        <v>126</v>
      </c>
      <c r="D32" s="3" t="s">
        <v>95</v>
      </c>
      <c r="E32" s="3" t="s">
        <v>15</v>
      </c>
      <c r="F32" s="4" t="s">
        <v>16</v>
      </c>
      <c r="G32" s="5" t="s">
        <v>127</v>
      </c>
      <c r="H32" s="6">
        <v>9.791255594E9</v>
      </c>
      <c r="I32" s="7">
        <v>46238.44583333333</v>
      </c>
      <c r="J32" s="8">
        <v>46239.0</v>
      </c>
      <c r="K32" s="9" t="s">
        <v>124</v>
      </c>
      <c r="M32" s="10">
        <f>+919444250769</f>
        <v>919444250769</v>
      </c>
      <c r="O32" s="10" t="str">
        <f t="shared" si="1"/>
        <v>PRESENT</v>
      </c>
    </row>
    <row r="33" ht="22.5" customHeight="1">
      <c r="A33" s="3" t="s">
        <v>92</v>
      </c>
      <c r="B33" s="4" t="s">
        <v>128</v>
      </c>
      <c r="C33" s="4" t="s">
        <v>129</v>
      </c>
      <c r="D33" s="3" t="s">
        <v>95</v>
      </c>
      <c r="E33" s="3" t="s">
        <v>15</v>
      </c>
      <c r="F33" s="4" t="s">
        <v>16</v>
      </c>
      <c r="G33" s="5" t="s">
        <v>130</v>
      </c>
      <c r="H33" s="6">
        <v>7.305312982E9</v>
      </c>
      <c r="I33" s="7">
        <v>46238.44027777778</v>
      </c>
      <c r="J33" s="8">
        <v>46239.0</v>
      </c>
      <c r="K33" s="9" t="s">
        <v>124</v>
      </c>
      <c r="O33" s="10" t="str">
        <f t="shared" si="1"/>
        <v/>
      </c>
    </row>
    <row r="34" ht="22.5" customHeight="1">
      <c r="A34" s="3" t="s">
        <v>92</v>
      </c>
      <c r="B34" s="4" t="s">
        <v>131</v>
      </c>
      <c r="C34" s="4" t="s">
        <v>132</v>
      </c>
      <c r="D34" s="3" t="s">
        <v>95</v>
      </c>
      <c r="E34" s="3" t="s">
        <v>15</v>
      </c>
      <c r="F34" s="4" t="s">
        <v>16</v>
      </c>
      <c r="G34" s="5" t="s">
        <v>133</v>
      </c>
      <c r="H34" s="6">
        <v>9.080649991E9</v>
      </c>
      <c r="I34" s="7">
        <v>46238.45</v>
      </c>
      <c r="J34" s="8">
        <v>46239.0</v>
      </c>
      <c r="K34" s="9" t="s">
        <v>134</v>
      </c>
      <c r="M34" s="10">
        <f>+918113090002</f>
        <v>918113090002</v>
      </c>
      <c r="O34" s="10" t="str">
        <f t="shared" si="1"/>
        <v>PRESENT</v>
      </c>
    </row>
    <row r="35" ht="22.5" customHeight="1">
      <c r="A35" s="3" t="s">
        <v>92</v>
      </c>
      <c r="B35" s="4" t="s">
        <v>135</v>
      </c>
      <c r="C35" s="4" t="s">
        <v>136</v>
      </c>
      <c r="D35" s="3" t="s">
        <v>95</v>
      </c>
      <c r="E35" s="3" t="s">
        <v>15</v>
      </c>
      <c r="F35" s="4" t="s">
        <v>16</v>
      </c>
      <c r="G35" s="5" t="s">
        <v>137</v>
      </c>
      <c r="H35" s="6">
        <v>9.442301853E9</v>
      </c>
      <c r="I35" s="7">
        <v>46238.447222222225</v>
      </c>
      <c r="J35" s="8">
        <v>46239.0</v>
      </c>
      <c r="K35" s="9" t="s">
        <v>134</v>
      </c>
      <c r="O35" s="10" t="str">
        <f t="shared" si="1"/>
        <v/>
      </c>
    </row>
    <row r="36" ht="22.5" customHeight="1">
      <c r="A36" s="3" t="s">
        <v>138</v>
      </c>
      <c r="B36" s="4" t="s">
        <v>139</v>
      </c>
      <c r="C36" s="4" t="s">
        <v>140</v>
      </c>
      <c r="D36" s="3" t="s">
        <v>141</v>
      </c>
      <c r="E36" s="3" t="s">
        <v>15</v>
      </c>
      <c r="F36" s="4" t="s">
        <v>16</v>
      </c>
      <c r="G36" s="5" t="s">
        <v>142</v>
      </c>
      <c r="H36" s="6">
        <v>8.870423393E9</v>
      </c>
      <c r="I36" s="7">
        <v>46238.53125</v>
      </c>
      <c r="J36" s="8">
        <v>46239.0</v>
      </c>
      <c r="K36" s="9" t="s">
        <v>134</v>
      </c>
      <c r="M36" s="10">
        <f>+919840822878</f>
        <v>919840822878</v>
      </c>
      <c r="O36" s="10" t="str">
        <f t="shared" si="1"/>
        <v>PRESENT</v>
      </c>
    </row>
    <row r="37" ht="22.5" customHeight="1">
      <c r="A37" s="3" t="s">
        <v>138</v>
      </c>
      <c r="B37" s="4" t="s">
        <v>143</v>
      </c>
      <c r="C37" s="4" t="s">
        <v>144</v>
      </c>
      <c r="D37" s="3" t="s">
        <v>141</v>
      </c>
      <c r="E37" s="3" t="s">
        <v>15</v>
      </c>
      <c r="F37" s="4" t="s">
        <v>16</v>
      </c>
      <c r="G37" s="5" t="s">
        <v>145</v>
      </c>
      <c r="H37" s="6">
        <v>7.348882929E9</v>
      </c>
      <c r="I37" s="7">
        <v>46238.458333333336</v>
      </c>
      <c r="J37" s="8">
        <v>46239.0</v>
      </c>
      <c r="K37" s="9" t="s">
        <v>146</v>
      </c>
      <c r="O37" s="10" t="str">
        <f t="shared" si="1"/>
        <v/>
      </c>
    </row>
    <row r="38" ht="22.5" customHeight="1">
      <c r="A38" s="3" t="s">
        <v>138</v>
      </c>
      <c r="B38" s="4" t="s">
        <v>147</v>
      </c>
      <c r="C38" s="4" t="s">
        <v>148</v>
      </c>
      <c r="D38" s="3" t="s">
        <v>141</v>
      </c>
      <c r="E38" s="3" t="s">
        <v>15</v>
      </c>
      <c r="F38" s="4" t="s">
        <v>16</v>
      </c>
      <c r="G38" s="5" t="s">
        <v>149</v>
      </c>
      <c r="H38" s="6">
        <v>7.200446113E9</v>
      </c>
      <c r="I38" s="7">
        <v>46238.45277777778</v>
      </c>
      <c r="J38" s="8">
        <v>46239.0</v>
      </c>
      <c r="K38" s="9" t="s">
        <v>146</v>
      </c>
      <c r="M38" s="10">
        <f>+917904357262</f>
        <v>917904357262</v>
      </c>
      <c r="O38" s="10" t="str">
        <f t="shared" si="1"/>
        <v>PRESENT</v>
      </c>
    </row>
    <row r="39" ht="22.5" customHeight="1">
      <c r="A39" s="3" t="s">
        <v>150</v>
      </c>
      <c r="B39" s="4" t="s">
        <v>151</v>
      </c>
      <c r="C39" s="4" t="s">
        <v>152</v>
      </c>
      <c r="D39" s="3" t="s">
        <v>95</v>
      </c>
      <c r="E39" s="3" t="s">
        <v>15</v>
      </c>
      <c r="F39" s="4" t="s">
        <v>16</v>
      </c>
      <c r="G39" s="5" t="s">
        <v>153</v>
      </c>
      <c r="H39" s="6">
        <v>9.345538197E9</v>
      </c>
      <c r="I39" s="7">
        <v>46240.32152777778</v>
      </c>
      <c r="J39" s="8">
        <v>46241.0</v>
      </c>
      <c r="K39" s="9" t="s">
        <v>154</v>
      </c>
      <c r="O39" s="10" t="str">
        <f t="shared" si="1"/>
        <v/>
      </c>
    </row>
    <row r="40" ht="22.5" customHeight="1">
      <c r="A40" s="3" t="s">
        <v>150</v>
      </c>
      <c r="B40" s="4" t="s">
        <v>155</v>
      </c>
      <c r="C40" s="4" t="s">
        <v>156</v>
      </c>
      <c r="D40" s="3" t="s">
        <v>95</v>
      </c>
      <c r="E40" s="3" t="s">
        <v>15</v>
      </c>
      <c r="F40" s="4" t="s">
        <v>16</v>
      </c>
      <c r="G40" s="5" t="s">
        <v>157</v>
      </c>
      <c r="H40" s="6">
        <v>8.87005156E9</v>
      </c>
      <c r="I40" s="7">
        <v>46240.31875</v>
      </c>
      <c r="J40" s="8">
        <v>46241.0</v>
      </c>
      <c r="K40" s="9" t="s">
        <v>158</v>
      </c>
      <c r="M40" s="10">
        <f>+919445002264</f>
        <v>919445002264</v>
      </c>
      <c r="O40" s="10" t="str">
        <f t="shared" si="1"/>
        <v>PRESENT</v>
      </c>
    </row>
    <row r="41" ht="22.5" customHeight="1">
      <c r="A41" s="3" t="s">
        <v>159</v>
      </c>
      <c r="B41" s="4" t="s">
        <v>160</v>
      </c>
      <c r="C41" s="4" t="s">
        <v>161</v>
      </c>
      <c r="D41" s="3" t="s">
        <v>162</v>
      </c>
      <c r="E41" s="3" t="s">
        <v>15</v>
      </c>
      <c r="F41" s="4" t="s">
        <v>16</v>
      </c>
      <c r="G41" s="5" t="s">
        <v>163</v>
      </c>
      <c r="H41" s="6">
        <v>8.825934873E9</v>
      </c>
      <c r="I41" s="7">
        <v>46238.447222222225</v>
      </c>
      <c r="J41" s="8">
        <v>46239.0</v>
      </c>
      <c r="K41" s="9" t="s">
        <v>158</v>
      </c>
      <c r="O41" s="10" t="str">
        <f t="shared" si="1"/>
        <v/>
      </c>
    </row>
    <row r="42" ht="22.5" customHeight="1">
      <c r="A42" s="3" t="s">
        <v>159</v>
      </c>
      <c r="B42" s="4" t="s">
        <v>164</v>
      </c>
      <c r="C42" s="4" t="s">
        <v>165</v>
      </c>
      <c r="D42" s="3" t="s">
        <v>162</v>
      </c>
      <c r="E42" s="3" t="s">
        <v>15</v>
      </c>
      <c r="F42" s="4" t="s">
        <v>16</v>
      </c>
      <c r="G42" s="5" t="s">
        <v>166</v>
      </c>
      <c r="H42" s="6">
        <v>8.015931543E9</v>
      </c>
      <c r="I42" s="7">
        <v>46238.44861111111</v>
      </c>
      <c r="J42" s="8">
        <v>46239.0</v>
      </c>
      <c r="K42" s="9" t="s">
        <v>158</v>
      </c>
      <c r="M42" s="10">
        <f>+919043996859</f>
        <v>919043996859</v>
      </c>
      <c r="O42" s="10" t="str">
        <f t="shared" si="1"/>
        <v>PRESENT</v>
      </c>
    </row>
    <row r="43" ht="22.5" customHeight="1">
      <c r="A43" s="3" t="s">
        <v>159</v>
      </c>
      <c r="B43" s="4" t="s">
        <v>167</v>
      </c>
      <c r="C43" s="4" t="s">
        <v>168</v>
      </c>
      <c r="D43" s="3" t="s">
        <v>162</v>
      </c>
      <c r="E43" s="3" t="s">
        <v>15</v>
      </c>
      <c r="F43" s="4" t="s">
        <v>16</v>
      </c>
      <c r="G43" s="5" t="s">
        <v>169</v>
      </c>
      <c r="H43" s="6">
        <v>8.610027559E9</v>
      </c>
      <c r="I43" s="7">
        <v>46238.447916666664</v>
      </c>
      <c r="J43" s="8">
        <v>46239.0</v>
      </c>
      <c r="K43" s="9" t="s">
        <v>170</v>
      </c>
      <c r="O43" s="10" t="str">
        <f t="shared" si="1"/>
        <v/>
      </c>
    </row>
    <row r="44" ht="22.5" customHeight="1">
      <c r="A44" s="3" t="s">
        <v>159</v>
      </c>
      <c r="B44" s="4" t="s">
        <v>171</v>
      </c>
      <c r="C44" s="4" t="s">
        <v>172</v>
      </c>
      <c r="D44" s="3" t="s">
        <v>162</v>
      </c>
      <c r="E44" s="3" t="s">
        <v>15</v>
      </c>
      <c r="F44" s="4" t="s">
        <v>16</v>
      </c>
      <c r="G44" s="5" t="s">
        <v>173</v>
      </c>
      <c r="H44" s="6">
        <v>7.200449889E9</v>
      </c>
      <c r="I44" s="7">
        <v>46238.44861111111</v>
      </c>
      <c r="J44" s="8">
        <v>46239.0</v>
      </c>
      <c r="K44" s="9" t="s">
        <v>170</v>
      </c>
      <c r="M44" s="10">
        <f>+919940069268</f>
        <v>919940069268</v>
      </c>
      <c r="O44" s="10" t="str">
        <f t="shared" si="1"/>
        <v>PRESENT</v>
      </c>
    </row>
    <row r="45" ht="22.5" customHeight="1">
      <c r="A45" s="3" t="s">
        <v>174</v>
      </c>
      <c r="B45" s="4" t="s">
        <v>175</v>
      </c>
      <c r="C45" s="4" t="s">
        <v>176</v>
      </c>
      <c r="D45" s="3" t="s">
        <v>162</v>
      </c>
      <c r="E45" s="3" t="s">
        <v>15</v>
      </c>
      <c r="F45" s="4" t="s">
        <v>16</v>
      </c>
      <c r="G45" s="5" t="s">
        <v>177</v>
      </c>
      <c r="H45" s="6">
        <v>8.248134018E9</v>
      </c>
      <c r="I45" s="7">
        <v>46238.44583333333</v>
      </c>
      <c r="J45" s="8">
        <v>46239.0</v>
      </c>
      <c r="K45" s="9" t="s">
        <v>170</v>
      </c>
      <c r="O45" s="10" t="str">
        <f t="shared" si="1"/>
        <v/>
      </c>
    </row>
    <row r="46" ht="22.5" customHeight="1">
      <c r="A46" s="3" t="s">
        <v>174</v>
      </c>
      <c r="B46" s="4" t="s">
        <v>178</v>
      </c>
      <c r="C46" s="4" t="s">
        <v>179</v>
      </c>
      <c r="D46" s="3" t="s">
        <v>162</v>
      </c>
      <c r="E46" s="3" t="s">
        <v>15</v>
      </c>
      <c r="F46" s="4" t="s">
        <v>16</v>
      </c>
      <c r="G46" s="5" t="s">
        <v>180</v>
      </c>
      <c r="H46" s="6">
        <v>8.838945411E9</v>
      </c>
      <c r="I46" s="7">
        <v>46238.44583333333</v>
      </c>
      <c r="J46" s="8">
        <v>46239.0</v>
      </c>
      <c r="K46" s="9" t="s">
        <v>181</v>
      </c>
      <c r="M46" s="10">
        <f>+919384615826</f>
        <v>919384615826</v>
      </c>
      <c r="O46" s="10" t="str">
        <f t="shared" si="1"/>
        <v>PRESENT</v>
      </c>
    </row>
    <row r="47" ht="22.5" customHeight="1">
      <c r="A47" s="3" t="s">
        <v>182</v>
      </c>
      <c r="B47" s="4" t="s">
        <v>183</v>
      </c>
      <c r="C47" s="4" t="s">
        <v>184</v>
      </c>
      <c r="D47" s="3" t="s">
        <v>162</v>
      </c>
      <c r="E47" s="3" t="s">
        <v>15</v>
      </c>
      <c r="F47" s="4" t="s">
        <v>16</v>
      </c>
      <c r="G47" s="5" t="s">
        <v>185</v>
      </c>
      <c r="H47" s="6">
        <v>9.080382055E9</v>
      </c>
      <c r="I47" s="7">
        <v>46238.44861111111</v>
      </c>
      <c r="J47" s="8">
        <v>46239.0</v>
      </c>
      <c r="K47" s="9" t="s">
        <v>186</v>
      </c>
      <c r="O47" s="10" t="str">
        <f t="shared" si="1"/>
        <v/>
      </c>
    </row>
    <row r="48" ht="22.5" customHeight="1">
      <c r="A48" s="3" t="s">
        <v>187</v>
      </c>
      <c r="B48" s="4" t="s">
        <v>188</v>
      </c>
      <c r="C48" s="4" t="s">
        <v>189</v>
      </c>
      <c r="D48" s="3" t="s">
        <v>14</v>
      </c>
      <c r="E48" s="3" t="s">
        <v>15</v>
      </c>
      <c r="F48" s="4" t="s">
        <v>16</v>
      </c>
      <c r="G48" s="5" t="s">
        <v>190</v>
      </c>
      <c r="H48" s="6">
        <v>8.838592442E9</v>
      </c>
      <c r="I48" s="7">
        <v>46238.447916666664</v>
      </c>
      <c r="J48" s="8">
        <v>46239.0</v>
      </c>
      <c r="K48" s="9" t="s">
        <v>186</v>
      </c>
      <c r="M48" s="10">
        <f>+919486366923</f>
        <v>919486366923</v>
      </c>
      <c r="O48" s="10" t="str">
        <f t="shared" si="1"/>
        <v>PRESENT</v>
      </c>
    </row>
    <row r="49" ht="22.5" customHeight="1">
      <c r="A49" s="3" t="s">
        <v>191</v>
      </c>
      <c r="B49" s="4" t="s">
        <v>192</v>
      </c>
      <c r="C49" s="4" t="s">
        <v>193</v>
      </c>
      <c r="D49" s="3" t="s">
        <v>14</v>
      </c>
      <c r="E49" s="3" t="s">
        <v>15</v>
      </c>
      <c r="F49" s="4" t="s">
        <v>16</v>
      </c>
      <c r="G49" s="5" t="s">
        <v>194</v>
      </c>
      <c r="H49" s="6">
        <v>9.677183329E9</v>
      </c>
      <c r="I49" s="7">
        <v>46238.444444444445</v>
      </c>
      <c r="J49" s="8">
        <v>46239.0</v>
      </c>
      <c r="K49" s="9" t="s">
        <v>186</v>
      </c>
      <c r="O49" s="10" t="str">
        <f t="shared" si="1"/>
        <v/>
      </c>
    </row>
    <row r="50" ht="22.5" customHeight="1">
      <c r="A50" s="3" t="s">
        <v>191</v>
      </c>
      <c r="B50" s="4" t="s">
        <v>195</v>
      </c>
      <c r="C50" s="4" t="s">
        <v>196</v>
      </c>
      <c r="D50" s="3" t="s">
        <v>14</v>
      </c>
      <c r="E50" s="3" t="s">
        <v>15</v>
      </c>
      <c r="F50" s="4" t="s">
        <v>16</v>
      </c>
      <c r="G50" s="5" t="s">
        <v>197</v>
      </c>
      <c r="H50" s="6">
        <v>7.025428928E9</v>
      </c>
      <c r="I50" s="7">
        <v>46238.44236111111</v>
      </c>
      <c r="J50" s="8">
        <v>46239.0</v>
      </c>
      <c r="K50" s="9" t="s">
        <v>198</v>
      </c>
      <c r="M50" s="10">
        <f>+919994533734</f>
        <v>919994533734</v>
      </c>
      <c r="O50" s="10" t="str">
        <f t="shared" si="1"/>
        <v>PRESENT</v>
      </c>
    </row>
    <row r="51" ht="22.5" customHeight="1">
      <c r="A51" s="3" t="s">
        <v>199</v>
      </c>
      <c r="B51" s="4" t="s">
        <v>200</v>
      </c>
      <c r="C51" s="4" t="s">
        <v>201</v>
      </c>
      <c r="D51" s="3" t="s">
        <v>14</v>
      </c>
      <c r="E51" s="3" t="s">
        <v>15</v>
      </c>
      <c r="F51" s="4" t="s">
        <v>16</v>
      </c>
      <c r="G51" s="5" t="s">
        <v>202</v>
      </c>
      <c r="H51" s="6">
        <v>9.344109205E9</v>
      </c>
      <c r="I51" s="7">
        <v>46238.467361111114</v>
      </c>
      <c r="J51" s="8">
        <v>46239.0</v>
      </c>
      <c r="K51" s="9" t="s">
        <v>198</v>
      </c>
      <c r="O51" s="10" t="str">
        <f t="shared" si="1"/>
        <v/>
      </c>
    </row>
    <row r="52" ht="22.5" customHeight="1">
      <c r="A52" s="3" t="s">
        <v>199</v>
      </c>
      <c r="B52" s="4" t="s">
        <v>203</v>
      </c>
      <c r="C52" s="4" t="s">
        <v>204</v>
      </c>
      <c r="D52" s="3" t="s">
        <v>14</v>
      </c>
      <c r="E52" s="3" t="s">
        <v>15</v>
      </c>
      <c r="F52" s="4" t="s">
        <v>16</v>
      </c>
      <c r="G52" s="5" t="s">
        <v>205</v>
      </c>
      <c r="H52" s="6">
        <v>8.248482221E9</v>
      </c>
      <c r="I52" s="7">
        <v>46240.64791666667</v>
      </c>
      <c r="J52" s="8">
        <v>46241.0</v>
      </c>
      <c r="K52" s="9" t="s">
        <v>198</v>
      </c>
      <c r="M52" s="10">
        <f>+917538831199</f>
        <v>917538831199</v>
      </c>
      <c r="O52" s="10" t="str">
        <f t="shared" si="1"/>
        <v>PRESENT</v>
      </c>
    </row>
    <row r="53" ht="22.5" customHeight="1">
      <c r="A53" s="3" t="s">
        <v>199</v>
      </c>
      <c r="B53" s="4" t="s">
        <v>206</v>
      </c>
      <c r="C53" s="4" t="s">
        <v>207</v>
      </c>
      <c r="D53" s="3" t="s">
        <v>14</v>
      </c>
      <c r="E53" s="3" t="s">
        <v>15</v>
      </c>
      <c r="F53" s="4" t="s">
        <v>16</v>
      </c>
      <c r="G53" s="5" t="s">
        <v>208</v>
      </c>
      <c r="H53" s="6">
        <v>8.925282843E9</v>
      </c>
      <c r="I53" s="7">
        <v>46238.47638888889</v>
      </c>
      <c r="J53" s="8">
        <v>46239.0</v>
      </c>
      <c r="K53" s="9" t="s">
        <v>209</v>
      </c>
      <c r="O53" s="10" t="str">
        <f t="shared" si="1"/>
        <v/>
      </c>
    </row>
    <row r="54" ht="22.5" customHeight="1">
      <c r="A54" s="3" t="s">
        <v>210</v>
      </c>
      <c r="B54" s="4" t="s">
        <v>211</v>
      </c>
      <c r="C54" s="4" t="s">
        <v>212</v>
      </c>
      <c r="D54" s="3" t="s">
        <v>14</v>
      </c>
      <c r="E54" s="3" t="s">
        <v>15</v>
      </c>
      <c r="F54" s="4" t="s">
        <v>16</v>
      </c>
      <c r="G54" s="5" t="s">
        <v>213</v>
      </c>
      <c r="H54" s="6">
        <v>7.603931352E9</v>
      </c>
      <c r="I54" s="7">
        <v>46238.438888888886</v>
      </c>
      <c r="J54" s="8">
        <v>46239.0</v>
      </c>
      <c r="K54" s="9" t="s">
        <v>209</v>
      </c>
      <c r="M54" s="10">
        <f>+919444516992</f>
        <v>919444516992</v>
      </c>
      <c r="O54" s="10" t="str">
        <f t="shared" si="1"/>
        <v>PRESENT</v>
      </c>
    </row>
    <row r="55" ht="22.5" customHeight="1">
      <c r="A55" s="3" t="s">
        <v>210</v>
      </c>
      <c r="B55" s="4" t="s">
        <v>214</v>
      </c>
      <c r="C55" s="4" t="s">
        <v>215</v>
      </c>
      <c r="D55" s="3" t="s">
        <v>14</v>
      </c>
      <c r="E55" s="3" t="s">
        <v>15</v>
      </c>
      <c r="F55" s="4" t="s">
        <v>16</v>
      </c>
      <c r="G55" s="5" t="s">
        <v>216</v>
      </c>
      <c r="H55" s="6">
        <v>6.385562914E9</v>
      </c>
      <c r="I55" s="7">
        <v>46238.447916666664</v>
      </c>
      <c r="J55" s="8">
        <v>46239.0</v>
      </c>
      <c r="K55" s="9" t="s">
        <v>217</v>
      </c>
      <c r="O55" s="10" t="str">
        <f t="shared" si="1"/>
        <v/>
      </c>
    </row>
    <row r="56" ht="22.5" customHeight="1">
      <c r="A56" s="3" t="s">
        <v>210</v>
      </c>
      <c r="B56" s="4" t="s">
        <v>218</v>
      </c>
      <c r="C56" s="4" t="s">
        <v>219</v>
      </c>
      <c r="D56" s="3" t="s">
        <v>14</v>
      </c>
      <c r="E56" s="3" t="s">
        <v>15</v>
      </c>
      <c r="F56" s="4" t="s">
        <v>16</v>
      </c>
      <c r="G56" s="5" t="s">
        <v>220</v>
      </c>
      <c r="H56" s="6">
        <v>7.358633031E9</v>
      </c>
      <c r="I56" s="7">
        <v>46238.450694444444</v>
      </c>
      <c r="J56" s="8">
        <v>46239.0</v>
      </c>
      <c r="K56" s="9" t="s">
        <v>217</v>
      </c>
      <c r="M56" s="10">
        <f>+919487768486</f>
        <v>919487768486</v>
      </c>
      <c r="O56" s="10" t="str">
        <f t="shared" si="1"/>
        <v>PRESENT</v>
      </c>
    </row>
    <row r="57" ht="22.5" customHeight="1">
      <c r="A57" s="3" t="s">
        <v>210</v>
      </c>
      <c r="B57" s="4" t="s">
        <v>221</v>
      </c>
      <c r="C57" s="4" t="s">
        <v>222</v>
      </c>
      <c r="D57" s="3" t="s">
        <v>14</v>
      </c>
      <c r="E57" s="3" t="s">
        <v>15</v>
      </c>
      <c r="F57" s="4" t="s">
        <v>16</v>
      </c>
      <c r="G57" s="5" t="s">
        <v>223</v>
      </c>
      <c r="H57" s="6">
        <v>9.442351551E9</v>
      </c>
      <c r="I57" s="7">
        <v>46238.45</v>
      </c>
      <c r="J57" s="8">
        <v>46239.0</v>
      </c>
      <c r="K57" s="9" t="s">
        <v>217</v>
      </c>
      <c r="O57" s="10" t="str">
        <f t="shared" si="1"/>
        <v/>
      </c>
    </row>
    <row r="58" ht="22.5" customHeight="1">
      <c r="A58" s="3" t="s">
        <v>210</v>
      </c>
      <c r="B58" s="4" t="s">
        <v>224</v>
      </c>
      <c r="C58" s="4" t="s">
        <v>225</v>
      </c>
      <c r="D58" s="3" t="s">
        <v>14</v>
      </c>
      <c r="E58" s="3" t="s">
        <v>15</v>
      </c>
      <c r="F58" s="4" t="s">
        <v>16</v>
      </c>
      <c r="G58" s="5" t="s">
        <v>226</v>
      </c>
      <c r="H58" s="6">
        <v>9.444973154E9</v>
      </c>
      <c r="I58" s="7">
        <v>46238.447916666664</v>
      </c>
      <c r="J58" s="8">
        <v>46239.0</v>
      </c>
      <c r="K58" s="9" t="s">
        <v>227</v>
      </c>
      <c r="M58" s="10">
        <f>+919361704208</f>
        <v>919361704208</v>
      </c>
      <c r="O58" s="10" t="str">
        <f t="shared" si="1"/>
        <v>PRESENT</v>
      </c>
    </row>
    <row r="59" ht="22.5" customHeight="1">
      <c r="A59" s="3" t="s">
        <v>210</v>
      </c>
      <c r="B59" s="4" t="s">
        <v>228</v>
      </c>
      <c r="C59" s="4" t="s">
        <v>229</v>
      </c>
      <c r="D59" s="3" t="s">
        <v>14</v>
      </c>
      <c r="E59" s="3" t="s">
        <v>15</v>
      </c>
      <c r="F59" s="4" t="s">
        <v>16</v>
      </c>
      <c r="G59" s="5" t="s">
        <v>230</v>
      </c>
      <c r="H59" s="6">
        <v>9.080472525E9</v>
      </c>
      <c r="I59" s="7">
        <v>46238.447916666664</v>
      </c>
      <c r="J59" s="8">
        <v>46239.0</v>
      </c>
      <c r="K59" s="9" t="s">
        <v>227</v>
      </c>
      <c r="O59" s="10" t="str">
        <f t="shared" si="1"/>
        <v/>
      </c>
    </row>
    <row r="60" ht="22.5" customHeight="1">
      <c r="A60" s="3" t="s">
        <v>210</v>
      </c>
      <c r="B60" s="4" t="s">
        <v>231</v>
      </c>
      <c r="C60" s="4" t="s">
        <v>232</v>
      </c>
      <c r="D60" s="3" t="s">
        <v>14</v>
      </c>
      <c r="E60" s="3" t="s">
        <v>15</v>
      </c>
      <c r="F60" s="4" t="s">
        <v>16</v>
      </c>
      <c r="G60" s="5" t="s">
        <v>233</v>
      </c>
      <c r="H60" s="6">
        <v>7.305745634E9</v>
      </c>
      <c r="I60" s="7">
        <v>46238.444444444445</v>
      </c>
      <c r="J60" s="8">
        <v>46239.0</v>
      </c>
      <c r="K60" s="9" t="s">
        <v>227</v>
      </c>
      <c r="M60" s="10">
        <f>+919884177600</f>
        <v>919884177600</v>
      </c>
      <c r="O60" s="10" t="str">
        <f t="shared" si="1"/>
        <v>PRESENT</v>
      </c>
    </row>
    <row r="61" ht="22.5" customHeight="1">
      <c r="A61" s="3" t="s">
        <v>210</v>
      </c>
      <c r="B61" s="4" t="s">
        <v>234</v>
      </c>
      <c r="C61" s="4" t="s">
        <v>235</v>
      </c>
      <c r="D61" s="3" t="s">
        <v>14</v>
      </c>
      <c r="E61" s="3" t="s">
        <v>15</v>
      </c>
      <c r="F61" s="4" t="s">
        <v>16</v>
      </c>
      <c r="G61" s="5" t="s">
        <v>236</v>
      </c>
      <c r="H61" s="6">
        <v>8.015121277E9</v>
      </c>
      <c r="I61" s="7">
        <v>46238.447916666664</v>
      </c>
      <c r="J61" s="8">
        <v>46239.0</v>
      </c>
      <c r="K61" s="9" t="s">
        <v>237</v>
      </c>
      <c r="O61" s="10" t="str">
        <f t="shared" si="1"/>
        <v/>
      </c>
    </row>
    <row r="62" ht="22.5" customHeight="1">
      <c r="A62" s="3" t="s">
        <v>238</v>
      </c>
      <c r="B62" s="4" t="s">
        <v>239</v>
      </c>
      <c r="C62" s="4" t="s">
        <v>240</v>
      </c>
      <c r="D62" s="3" t="s">
        <v>241</v>
      </c>
      <c r="E62" s="3" t="s">
        <v>15</v>
      </c>
      <c r="F62" s="4" t="s">
        <v>16</v>
      </c>
      <c r="G62" s="5" t="s">
        <v>242</v>
      </c>
      <c r="H62" s="6">
        <v>8.287606578E9</v>
      </c>
      <c r="I62" s="7">
        <v>46238.44583333333</v>
      </c>
      <c r="J62" s="8">
        <v>46239.0</v>
      </c>
      <c r="K62" s="9" t="s">
        <v>243</v>
      </c>
      <c r="M62" s="10">
        <f>+917299059114</f>
        <v>917299059114</v>
      </c>
      <c r="O62" s="10" t="str">
        <f t="shared" si="1"/>
        <v>PRESENT</v>
      </c>
    </row>
    <row r="63" ht="22.5" customHeight="1">
      <c r="A63" s="3" t="s">
        <v>238</v>
      </c>
      <c r="B63" s="4" t="s">
        <v>244</v>
      </c>
      <c r="C63" s="4" t="s">
        <v>245</v>
      </c>
      <c r="D63" s="3" t="s">
        <v>241</v>
      </c>
      <c r="E63" s="3" t="s">
        <v>15</v>
      </c>
      <c r="F63" s="4" t="s">
        <v>16</v>
      </c>
      <c r="G63" s="5" t="s">
        <v>246</v>
      </c>
      <c r="H63" s="6">
        <v>8.940179937E9</v>
      </c>
      <c r="I63" s="7">
        <v>46238.45416666667</v>
      </c>
      <c r="J63" s="8">
        <v>46239.0</v>
      </c>
      <c r="K63" s="9" t="s">
        <v>243</v>
      </c>
      <c r="O63" s="10" t="str">
        <f t="shared" si="1"/>
        <v/>
      </c>
    </row>
    <row r="64" ht="22.5" customHeight="1">
      <c r="A64" s="3" t="s">
        <v>238</v>
      </c>
      <c r="B64" s="4" t="s">
        <v>247</v>
      </c>
      <c r="C64" s="4" t="s">
        <v>248</v>
      </c>
      <c r="D64" s="3" t="s">
        <v>241</v>
      </c>
      <c r="E64" s="3" t="s">
        <v>15</v>
      </c>
      <c r="F64" s="4" t="s">
        <v>16</v>
      </c>
      <c r="G64" s="5" t="s">
        <v>249</v>
      </c>
      <c r="H64" s="6">
        <v>9.443157205E9</v>
      </c>
      <c r="I64" s="7">
        <v>46238.45</v>
      </c>
      <c r="J64" s="8">
        <v>46239.0</v>
      </c>
      <c r="K64" s="9" t="s">
        <v>243</v>
      </c>
      <c r="M64" s="10">
        <f>+919677329581</f>
        <v>919677329581</v>
      </c>
      <c r="O64" s="10" t="str">
        <f t="shared" si="1"/>
        <v>PRESENT</v>
      </c>
    </row>
    <row r="65" ht="22.5" customHeight="1">
      <c r="A65" s="3" t="s">
        <v>238</v>
      </c>
      <c r="B65" s="4" t="s">
        <v>250</v>
      </c>
      <c r="C65" s="4" t="s">
        <v>251</v>
      </c>
      <c r="D65" s="3" t="s">
        <v>241</v>
      </c>
      <c r="E65" s="3" t="s">
        <v>15</v>
      </c>
      <c r="F65" s="4" t="s">
        <v>16</v>
      </c>
      <c r="G65" s="5" t="s">
        <v>252</v>
      </c>
      <c r="H65" s="6">
        <v>9.444244477E9</v>
      </c>
      <c r="I65" s="7">
        <v>46238.44375</v>
      </c>
      <c r="J65" s="8">
        <v>46239.0</v>
      </c>
      <c r="K65" s="9" t="s">
        <v>253</v>
      </c>
      <c r="O65" s="10" t="str">
        <f t="shared" si="1"/>
        <v/>
      </c>
    </row>
    <row r="66" ht="22.5" customHeight="1">
      <c r="A66" s="3" t="s">
        <v>238</v>
      </c>
      <c r="B66" s="4" t="s">
        <v>254</v>
      </c>
      <c r="C66" s="4" t="s">
        <v>255</v>
      </c>
      <c r="D66" s="3" t="s">
        <v>241</v>
      </c>
      <c r="E66" s="3" t="s">
        <v>15</v>
      </c>
      <c r="F66" s="4" t="s">
        <v>16</v>
      </c>
      <c r="G66" s="5" t="s">
        <v>256</v>
      </c>
      <c r="H66" s="6">
        <v>9.444250769E9</v>
      </c>
      <c r="I66" s="7">
        <v>46238.44652777778</v>
      </c>
      <c r="J66" s="8">
        <v>46239.0</v>
      </c>
      <c r="K66" s="9" t="s">
        <v>253</v>
      </c>
      <c r="M66" s="10">
        <f>+919363199679</f>
        <v>919363199679</v>
      </c>
      <c r="O66" s="10" t="str">
        <f t="shared" si="1"/>
        <v>PRESENT</v>
      </c>
    </row>
    <row r="67" ht="22.5" customHeight="1">
      <c r="A67" s="3" t="s">
        <v>238</v>
      </c>
      <c r="B67" s="4" t="s">
        <v>257</v>
      </c>
      <c r="C67" s="4" t="s">
        <v>258</v>
      </c>
      <c r="D67" s="3" t="s">
        <v>241</v>
      </c>
      <c r="E67" s="3" t="s">
        <v>15</v>
      </c>
      <c r="F67" s="4" t="s">
        <v>16</v>
      </c>
      <c r="G67" s="5" t="s">
        <v>259</v>
      </c>
      <c r="H67" s="6">
        <v>9.840419471E9</v>
      </c>
      <c r="I67" s="7">
        <v>46238.44236111111</v>
      </c>
      <c r="J67" s="8">
        <v>46239.0</v>
      </c>
      <c r="K67" s="9" t="s">
        <v>260</v>
      </c>
      <c r="O67" s="10" t="str">
        <f t="shared" si="1"/>
        <v/>
      </c>
    </row>
    <row r="68" ht="22.5" customHeight="1">
      <c r="A68" s="3" t="s">
        <v>238</v>
      </c>
      <c r="B68" s="4" t="s">
        <v>261</v>
      </c>
      <c r="C68" s="4" t="s">
        <v>262</v>
      </c>
      <c r="D68" s="3" t="s">
        <v>241</v>
      </c>
      <c r="E68" s="3" t="s">
        <v>15</v>
      </c>
      <c r="F68" s="4" t="s">
        <v>16</v>
      </c>
      <c r="G68" s="5" t="s">
        <v>263</v>
      </c>
      <c r="H68" s="6">
        <v>9.840431925E9</v>
      </c>
      <c r="I68" s="7">
        <v>46238.43958333333</v>
      </c>
      <c r="J68" s="8">
        <v>46239.0</v>
      </c>
      <c r="K68" s="9" t="s">
        <v>260</v>
      </c>
      <c r="M68" s="10">
        <f>+918248167599</f>
        <v>918248167599</v>
      </c>
      <c r="O68" s="10" t="str">
        <f t="shared" si="1"/>
        <v>PRESENT</v>
      </c>
    </row>
    <row r="69" ht="22.5" customHeight="1">
      <c r="A69" s="3" t="s">
        <v>238</v>
      </c>
      <c r="B69" s="4" t="s">
        <v>264</v>
      </c>
      <c r="C69" s="4" t="s">
        <v>265</v>
      </c>
      <c r="D69" s="3" t="s">
        <v>241</v>
      </c>
      <c r="E69" s="3" t="s">
        <v>15</v>
      </c>
      <c r="F69" s="4" t="s">
        <v>16</v>
      </c>
      <c r="G69" s="5" t="s">
        <v>266</v>
      </c>
      <c r="H69" s="6">
        <v>9.597925559E9</v>
      </c>
      <c r="I69" s="7">
        <v>46238.450694444444</v>
      </c>
      <c r="J69" s="8">
        <v>46239.0</v>
      </c>
      <c r="K69" s="9" t="s">
        <v>267</v>
      </c>
      <c r="O69" s="10" t="str">
        <f t="shared" si="1"/>
        <v/>
      </c>
    </row>
    <row r="70" ht="22.5" customHeight="1">
      <c r="A70" s="3" t="s">
        <v>238</v>
      </c>
      <c r="B70" s="4" t="s">
        <v>268</v>
      </c>
      <c r="C70" s="4" t="s">
        <v>269</v>
      </c>
      <c r="D70" s="3" t="s">
        <v>241</v>
      </c>
      <c r="E70" s="3" t="s">
        <v>15</v>
      </c>
      <c r="F70" s="4" t="s">
        <v>16</v>
      </c>
      <c r="G70" s="5" t="s">
        <v>270</v>
      </c>
      <c r="H70" s="6">
        <v>9.363457485E9</v>
      </c>
      <c r="I70" s="7">
        <v>46238.44097222222</v>
      </c>
      <c r="J70" s="8">
        <v>46239.0</v>
      </c>
      <c r="K70" s="9" t="s">
        <v>271</v>
      </c>
      <c r="M70" s="10">
        <f>+919789928647</f>
        <v>919789928647</v>
      </c>
      <c r="O70" s="10" t="str">
        <f t="shared" si="1"/>
        <v>PRESENT</v>
      </c>
    </row>
    <row r="71" ht="22.5" customHeight="1">
      <c r="A71" s="3" t="s">
        <v>238</v>
      </c>
      <c r="B71" s="4" t="s">
        <v>272</v>
      </c>
      <c r="C71" s="4" t="s">
        <v>273</v>
      </c>
      <c r="D71" s="3" t="s">
        <v>241</v>
      </c>
      <c r="E71" s="3" t="s">
        <v>15</v>
      </c>
      <c r="F71" s="4" t="s">
        <v>16</v>
      </c>
      <c r="G71" s="5" t="s">
        <v>274</v>
      </c>
      <c r="H71" s="6">
        <v>9.629690408E9</v>
      </c>
      <c r="I71" s="7">
        <v>46238.44583333333</v>
      </c>
      <c r="J71" s="8">
        <v>46239.0</v>
      </c>
      <c r="K71" s="9" t="s">
        <v>271</v>
      </c>
      <c r="O71" s="10" t="str">
        <f t="shared" si="1"/>
        <v/>
      </c>
    </row>
    <row r="72" ht="22.5" customHeight="1">
      <c r="A72" s="3" t="s">
        <v>238</v>
      </c>
      <c r="B72" s="4" t="s">
        <v>275</v>
      </c>
      <c r="C72" s="4" t="s">
        <v>276</v>
      </c>
      <c r="D72" s="3" t="s">
        <v>241</v>
      </c>
      <c r="E72" s="3" t="s">
        <v>15</v>
      </c>
      <c r="F72" s="4" t="s">
        <v>16</v>
      </c>
      <c r="G72" s="5" t="s">
        <v>277</v>
      </c>
      <c r="H72" s="6">
        <v>7.538861218E9</v>
      </c>
      <c r="I72" s="7">
        <v>46238.44583333333</v>
      </c>
      <c r="J72" s="8">
        <v>46239.0</v>
      </c>
      <c r="K72" s="9" t="s">
        <v>278</v>
      </c>
      <c r="M72" s="10">
        <f>+917845734236</f>
        <v>917845734236</v>
      </c>
      <c r="O72" s="10" t="str">
        <f t="shared" si="1"/>
        <v>PRESENT</v>
      </c>
    </row>
    <row r="73" ht="22.5" customHeight="1">
      <c r="A73" s="3" t="s">
        <v>238</v>
      </c>
      <c r="B73" s="4" t="s">
        <v>279</v>
      </c>
      <c r="C73" s="4" t="s">
        <v>280</v>
      </c>
      <c r="D73" s="3" t="s">
        <v>241</v>
      </c>
      <c r="E73" s="3" t="s">
        <v>15</v>
      </c>
      <c r="F73" s="4" t="s">
        <v>16</v>
      </c>
      <c r="G73" s="5" t="s">
        <v>281</v>
      </c>
      <c r="H73" s="6">
        <v>9.962275903E9</v>
      </c>
      <c r="I73" s="7">
        <v>46238.44861111111</v>
      </c>
      <c r="J73" s="8">
        <v>46239.0</v>
      </c>
      <c r="K73" s="9" t="s">
        <v>282</v>
      </c>
      <c r="O73" s="10" t="str">
        <f t="shared" si="1"/>
        <v/>
      </c>
    </row>
    <row r="74" ht="22.5" customHeight="1">
      <c r="A74" s="3" t="s">
        <v>238</v>
      </c>
      <c r="B74" s="4" t="s">
        <v>283</v>
      </c>
      <c r="C74" s="4" t="s">
        <v>284</v>
      </c>
      <c r="D74" s="3" t="s">
        <v>241</v>
      </c>
      <c r="E74" s="3" t="s">
        <v>15</v>
      </c>
      <c r="F74" s="4" t="s">
        <v>16</v>
      </c>
      <c r="G74" s="5" t="s">
        <v>285</v>
      </c>
      <c r="H74" s="6">
        <v>8.113090002E9</v>
      </c>
      <c r="I74" s="7">
        <v>46238.48125</v>
      </c>
      <c r="J74" s="8">
        <v>46239.0</v>
      </c>
      <c r="K74" s="9" t="s">
        <v>282</v>
      </c>
      <c r="M74" s="10">
        <f>+919445273019</f>
        <v>919445273019</v>
      </c>
      <c r="O74" s="10" t="str">
        <f t="shared" si="1"/>
        <v>PRESENT</v>
      </c>
    </row>
    <row r="75" ht="22.5" customHeight="1">
      <c r="A75" s="3" t="s">
        <v>238</v>
      </c>
      <c r="B75" s="4" t="s">
        <v>286</v>
      </c>
      <c r="C75" s="4" t="s">
        <v>287</v>
      </c>
      <c r="D75" s="3" t="s">
        <v>241</v>
      </c>
      <c r="E75" s="3" t="s">
        <v>15</v>
      </c>
      <c r="F75" s="4" t="s">
        <v>16</v>
      </c>
      <c r="G75" s="5" t="s">
        <v>288</v>
      </c>
      <c r="H75" s="6">
        <v>9.884928563E9</v>
      </c>
      <c r="I75" s="7">
        <v>46238.45138888889</v>
      </c>
      <c r="J75" s="8">
        <v>46239.0</v>
      </c>
      <c r="K75" s="9" t="s">
        <v>289</v>
      </c>
      <c r="O75" s="10" t="str">
        <f t="shared" si="1"/>
        <v/>
      </c>
    </row>
    <row r="76" ht="22.5" customHeight="1">
      <c r="A76" s="3" t="s">
        <v>238</v>
      </c>
      <c r="B76" s="4" t="s">
        <v>290</v>
      </c>
      <c r="C76" s="4" t="s">
        <v>291</v>
      </c>
      <c r="D76" s="3" t="s">
        <v>241</v>
      </c>
      <c r="E76" s="3" t="s">
        <v>15</v>
      </c>
      <c r="F76" s="4" t="s">
        <v>16</v>
      </c>
      <c r="G76" s="5" t="s">
        <v>292</v>
      </c>
      <c r="H76" s="6">
        <v>9.025767089E9</v>
      </c>
      <c r="I76" s="7">
        <v>46238.584027777775</v>
      </c>
      <c r="J76" s="8">
        <v>46239.0</v>
      </c>
      <c r="K76" s="9" t="s">
        <v>289</v>
      </c>
      <c r="M76" s="10">
        <f>+919043397564</f>
        <v>919043397564</v>
      </c>
      <c r="O76" s="10" t="str">
        <f t="shared" si="1"/>
        <v>PRESENT</v>
      </c>
    </row>
    <row r="77" ht="22.5" customHeight="1">
      <c r="A77" s="3" t="s">
        <v>293</v>
      </c>
      <c r="B77" s="4" t="s">
        <v>294</v>
      </c>
      <c r="C77" s="4" t="s">
        <v>295</v>
      </c>
      <c r="D77" s="3" t="s">
        <v>241</v>
      </c>
      <c r="E77" s="3" t="s">
        <v>15</v>
      </c>
      <c r="F77" s="4" t="s">
        <v>16</v>
      </c>
      <c r="G77" s="5" t="s">
        <v>296</v>
      </c>
      <c r="H77" s="6">
        <v>9.342251783E9</v>
      </c>
      <c r="I77" s="7">
        <v>46238.44930555556</v>
      </c>
      <c r="J77" s="8">
        <v>46239.0</v>
      </c>
      <c r="K77" s="9" t="s">
        <v>289</v>
      </c>
      <c r="O77" s="10" t="str">
        <f t="shared" si="1"/>
        <v/>
      </c>
    </row>
    <row r="78" ht="22.5" customHeight="1">
      <c r="A78" s="3" t="s">
        <v>293</v>
      </c>
      <c r="B78" s="4" t="s">
        <v>297</v>
      </c>
      <c r="C78" s="4" t="s">
        <v>298</v>
      </c>
      <c r="D78" s="3" t="s">
        <v>241</v>
      </c>
      <c r="E78" s="3" t="s">
        <v>15</v>
      </c>
      <c r="F78" s="4" t="s">
        <v>16</v>
      </c>
      <c r="G78" s="5" t="s">
        <v>299</v>
      </c>
      <c r="H78" s="6">
        <v>9.840822878E9</v>
      </c>
      <c r="I78" s="7">
        <v>46238.50347222222</v>
      </c>
      <c r="J78" s="8">
        <v>46239.0</v>
      </c>
      <c r="K78" s="9" t="s">
        <v>300</v>
      </c>
      <c r="M78" s="10">
        <f>+919967282712</f>
        <v>919967282712</v>
      </c>
      <c r="O78" s="10" t="str">
        <f t="shared" si="1"/>
        <v>PRESENT</v>
      </c>
    </row>
    <row r="79" ht="22.5" customHeight="1">
      <c r="A79" s="3" t="s">
        <v>293</v>
      </c>
      <c r="B79" s="4" t="s">
        <v>301</v>
      </c>
      <c r="C79" s="4" t="s">
        <v>302</v>
      </c>
      <c r="D79" s="3" t="s">
        <v>241</v>
      </c>
      <c r="E79" s="3" t="s">
        <v>15</v>
      </c>
      <c r="F79" s="4" t="s">
        <v>16</v>
      </c>
      <c r="G79" s="5" t="s">
        <v>303</v>
      </c>
      <c r="H79" s="6">
        <v>8.072658775E9</v>
      </c>
      <c r="I79" s="7">
        <v>46238.44861111111</v>
      </c>
      <c r="J79" s="8">
        <v>46239.0</v>
      </c>
      <c r="K79" s="9" t="s">
        <v>300</v>
      </c>
      <c r="O79" s="10" t="str">
        <f t="shared" si="1"/>
        <v/>
      </c>
    </row>
    <row r="80" ht="22.5" customHeight="1">
      <c r="A80" s="3" t="s">
        <v>293</v>
      </c>
      <c r="B80" s="4" t="s">
        <v>304</v>
      </c>
      <c r="C80" s="4" t="s">
        <v>305</v>
      </c>
      <c r="D80" s="3" t="s">
        <v>241</v>
      </c>
      <c r="E80" s="3" t="s">
        <v>15</v>
      </c>
      <c r="F80" s="4" t="s">
        <v>16</v>
      </c>
      <c r="G80" s="5" t="s">
        <v>306</v>
      </c>
      <c r="H80" s="6">
        <v>7.904357262E9</v>
      </c>
      <c r="I80" s="7">
        <v>46238.45138888889</v>
      </c>
      <c r="J80" s="8">
        <v>46239.0</v>
      </c>
      <c r="K80" s="9" t="s">
        <v>300</v>
      </c>
      <c r="M80" s="10">
        <f>+919677134700</f>
        <v>919677134700</v>
      </c>
      <c r="O80" s="10" t="str">
        <f t="shared" si="1"/>
        <v>PRESENT</v>
      </c>
    </row>
    <row r="81" ht="22.5" customHeight="1">
      <c r="A81" s="3" t="s">
        <v>293</v>
      </c>
      <c r="B81" s="4" t="s">
        <v>307</v>
      </c>
      <c r="C81" s="4" t="s">
        <v>308</v>
      </c>
      <c r="D81" s="3" t="s">
        <v>241</v>
      </c>
      <c r="E81" s="3" t="s">
        <v>15</v>
      </c>
      <c r="F81" s="4" t="s">
        <v>16</v>
      </c>
      <c r="G81" s="5" t="s">
        <v>309</v>
      </c>
      <c r="H81" s="6">
        <v>9.445002264E9</v>
      </c>
      <c r="I81" s="7">
        <v>46238.44861111111</v>
      </c>
      <c r="J81" s="8">
        <v>46239.0</v>
      </c>
      <c r="K81" s="9" t="s">
        <v>310</v>
      </c>
      <c r="O81" s="10" t="str">
        <f t="shared" si="1"/>
        <v/>
      </c>
    </row>
    <row r="82" ht="22.5" customHeight="1">
      <c r="A82" s="3" t="s">
        <v>293</v>
      </c>
      <c r="B82" s="4" t="s">
        <v>311</v>
      </c>
      <c r="C82" s="4" t="s">
        <v>312</v>
      </c>
      <c r="D82" s="3" t="s">
        <v>241</v>
      </c>
      <c r="E82" s="3" t="s">
        <v>15</v>
      </c>
      <c r="F82" s="4" t="s">
        <v>16</v>
      </c>
      <c r="G82" s="5" t="s">
        <v>313</v>
      </c>
      <c r="H82" s="6">
        <v>7.845037308E9</v>
      </c>
      <c r="I82" s="7">
        <v>46238.50833333333</v>
      </c>
      <c r="J82" s="8">
        <v>46239.0</v>
      </c>
      <c r="K82" s="9" t="s">
        <v>310</v>
      </c>
      <c r="M82" s="10">
        <f>+919384818182</f>
        <v>919384818182</v>
      </c>
      <c r="O82" s="10" t="str">
        <f t="shared" si="1"/>
        <v>PRESENT</v>
      </c>
    </row>
    <row r="83" ht="22.5" customHeight="1">
      <c r="A83" s="3" t="s">
        <v>293</v>
      </c>
      <c r="B83" s="4" t="s">
        <v>314</v>
      </c>
      <c r="C83" s="4" t="s">
        <v>315</v>
      </c>
      <c r="D83" s="3" t="s">
        <v>241</v>
      </c>
      <c r="E83" s="3" t="s">
        <v>15</v>
      </c>
      <c r="F83" s="4" t="s">
        <v>16</v>
      </c>
      <c r="G83" s="5" t="s">
        <v>316</v>
      </c>
      <c r="H83" s="6">
        <v>9.043996859E9</v>
      </c>
      <c r="I83" s="7">
        <v>46238.450694444444</v>
      </c>
      <c r="J83" s="8">
        <v>46239.0</v>
      </c>
      <c r="K83" s="9" t="s">
        <v>317</v>
      </c>
      <c r="O83" s="10" t="str">
        <f t="shared" si="1"/>
        <v/>
      </c>
    </row>
    <row r="84" ht="22.5" customHeight="1">
      <c r="A84" s="3" t="s">
        <v>293</v>
      </c>
      <c r="B84" s="4" t="s">
        <v>318</v>
      </c>
      <c r="C84" s="4" t="s">
        <v>319</v>
      </c>
      <c r="D84" s="3" t="s">
        <v>241</v>
      </c>
      <c r="E84" s="3" t="s">
        <v>15</v>
      </c>
      <c r="F84" s="4" t="s">
        <v>16</v>
      </c>
      <c r="G84" s="5" t="s">
        <v>320</v>
      </c>
      <c r="H84" s="6">
        <v>6.383880195E9</v>
      </c>
      <c r="I84" s="7">
        <v>46238.44861111111</v>
      </c>
      <c r="J84" s="8">
        <v>46239.0</v>
      </c>
      <c r="K84" s="9" t="s">
        <v>317</v>
      </c>
      <c r="M84" s="10">
        <f>+918015646680</f>
        <v>918015646680</v>
      </c>
      <c r="O84" s="10" t="str">
        <f t="shared" si="1"/>
        <v>PRESENT</v>
      </c>
    </row>
    <row r="85" ht="22.5" customHeight="1">
      <c r="A85" s="3" t="s">
        <v>293</v>
      </c>
      <c r="B85" s="4" t="s">
        <v>321</v>
      </c>
      <c r="C85" s="4" t="s">
        <v>322</v>
      </c>
      <c r="D85" s="3" t="s">
        <v>241</v>
      </c>
      <c r="E85" s="3" t="s">
        <v>15</v>
      </c>
      <c r="F85" s="4" t="s">
        <v>16</v>
      </c>
      <c r="G85" s="5" t="s">
        <v>323</v>
      </c>
      <c r="H85" s="6">
        <v>9.940069268E9</v>
      </c>
      <c r="I85" s="7">
        <v>46238.45208333333</v>
      </c>
      <c r="J85" s="8">
        <v>46239.0</v>
      </c>
      <c r="K85" s="9" t="s">
        <v>317</v>
      </c>
      <c r="O85" s="10" t="str">
        <f t="shared" si="1"/>
        <v/>
      </c>
    </row>
    <row r="86" ht="22.5" customHeight="1">
      <c r="A86" s="3" t="s">
        <v>293</v>
      </c>
      <c r="B86" s="4" t="s">
        <v>324</v>
      </c>
      <c r="C86" s="4" t="s">
        <v>325</v>
      </c>
      <c r="D86" s="3" t="s">
        <v>241</v>
      </c>
      <c r="E86" s="3" t="s">
        <v>15</v>
      </c>
      <c r="F86" s="4" t="s">
        <v>16</v>
      </c>
      <c r="G86" s="5" t="s">
        <v>326</v>
      </c>
      <c r="H86" s="6">
        <v>8.838954496E9</v>
      </c>
      <c r="I86" s="7">
        <v>46238.450694444444</v>
      </c>
      <c r="J86" s="8">
        <v>46239.0</v>
      </c>
      <c r="K86" s="9" t="s">
        <v>327</v>
      </c>
      <c r="M86" s="10">
        <f>+917305700693</f>
        <v>917305700693</v>
      </c>
      <c r="O86" s="10" t="str">
        <f t="shared" si="1"/>
        <v>PRESENT</v>
      </c>
    </row>
    <row r="87" ht="22.5" customHeight="1">
      <c r="A87" s="3" t="s">
        <v>293</v>
      </c>
      <c r="B87" s="4" t="s">
        <v>328</v>
      </c>
      <c r="C87" s="4" t="s">
        <v>329</v>
      </c>
      <c r="D87" s="3" t="s">
        <v>241</v>
      </c>
      <c r="E87" s="3" t="s">
        <v>15</v>
      </c>
      <c r="F87" s="4" t="s">
        <v>16</v>
      </c>
      <c r="G87" s="5" t="s">
        <v>330</v>
      </c>
      <c r="H87" s="6">
        <v>9.500938955E9</v>
      </c>
      <c r="I87" s="7">
        <v>46241.489583333336</v>
      </c>
      <c r="J87" s="8">
        <v>46242.0</v>
      </c>
      <c r="K87" s="9" t="s">
        <v>327</v>
      </c>
      <c r="O87" s="10" t="str">
        <f t="shared" si="1"/>
        <v/>
      </c>
    </row>
    <row r="88" ht="22.5" customHeight="1">
      <c r="A88" s="3" t="s">
        <v>293</v>
      </c>
      <c r="B88" s="4" t="s">
        <v>331</v>
      </c>
      <c r="C88" s="4" t="s">
        <v>332</v>
      </c>
      <c r="D88" s="3" t="s">
        <v>241</v>
      </c>
      <c r="E88" s="3" t="s">
        <v>15</v>
      </c>
      <c r="F88" s="4" t="s">
        <v>16</v>
      </c>
      <c r="G88" s="5" t="s">
        <v>333</v>
      </c>
      <c r="H88" s="6">
        <v>9.500036882E9</v>
      </c>
      <c r="I88" s="7">
        <v>46238.450694444444</v>
      </c>
      <c r="J88" s="8">
        <v>46239.0</v>
      </c>
      <c r="K88" s="9" t="s">
        <v>327</v>
      </c>
      <c r="M88" s="10">
        <f>+919884978935</f>
        <v>919884978935</v>
      </c>
      <c r="O88" s="10" t="str">
        <f t="shared" si="1"/>
        <v>PRESENT</v>
      </c>
    </row>
    <row r="89" ht="22.5" customHeight="1">
      <c r="A89" s="3" t="s">
        <v>293</v>
      </c>
      <c r="B89" s="4" t="s">
        <v>334</v>
      </c>
      <c r="C89" s="4" t="s">
        <v>335</v>
      </c>
      <c r="D89" s="3" t="s">
        <v>241</v>
      </c>
      <c r="E89" s="3" t="s">
        <v>15</v>
      </c>
      <c r="F89" s="4" t="s">
        <v>16</v>
      </c>
      <c r="G89" s="5" t="s">
        <v>336</v>
      </c>
      <c r="H89" s="6">
        <v>9.384615826E9</v>
      </c>
      <c r="I89" s="7">
        <v>46238.44236111111</v>
      </c>
      <c r="J89" s="8">
        <v>46239.0</v>
      </c>
      <c r="K89" s="9" t="s">
        <v>337</v>
      </c>
      <c r="O89" s="10" t="str">
        <f t="shared" si="1"/>
        <v/>
      </c>
    </row>
    <row r="90" ht="22.5" customHeight="1">
      <c r="A90" s="3" t="s">
        <v>293</v>
      </c>
      <c r="B90" s="4" t="s">
        <v>338</v>
      </c>
      <c r="C90" s="4" t="s">
        <v>339</v>
      </c>
      <c r="D90" s="3" t="s">
        <v>241</v>
      </c>
      <c r="E90" s="3" t="s">
        <v>15</v>
      </c>
      <c r="F90" s="4" t="s">
        <v>16</v>
      </c>
      <c r="G90" s="5" t="s">
        <v>340</v>
      </c>
      <c r="H90" s="6">
        <v>9.486366923E9</v>
      </c>
      <c r="I90" s="7">
        <v>46238.444444444445</v>
      </c>
      <c r="J90" s="8">
        <v>46239.0</v>
      </c>
      <c r="K90" s="9" t="s">
        <v>341</v>
      </c>
      <c r="O90" s="10" t="str">
        <f t="shared" si="1"/>
        <v/>
      </c>
    </row>
    <row r="91" ht="22.5" customHeight="1">
      <c r="A91" s="3" t="s">
        <v>293</v>
      </c>
      <c r="B91" s="4" t="s">
        <v>342</v>
      </c>
      <c r="C91" s="4" t="s">
        <v>343</v>
      </c>
      <c r="D91" s="3" t="s">
        <v>241</v>
      </c>
      <c r="E91" s="3" t="s">
        <v>15</v>
      </c>
      <c r="F91" s="4" t="s">
        <v>16</v>
      </c>
      <c r="G91" s="5" t="s">
        <v>344</v>
      </c>
      <c r="H91" s="6">
        <v>9.994533734E9</v>
      </c>
      <c r="I91" s="7">
        <v>46238.44375</v>
      </c>
      <c r="J91" s="8">
        <v>46239.0</v>
      </c>
      <c r="K91" s="9" t="s">
        <v>341</v>
      </c>
      <c r="O91" s="10" t="str">
        <f t="shared" si="1"/>
        <v/>
      </c>
    </row>
    <row r="92" ht="22.5" customHeight="1">
      <c r="A92" s="3" t="s">
        <v>293</v>
      </c>
      <c r="B92" s="4" t="s">
        <v>345</v>
      </c>
      <c r="C92" s="4" t="s">
        <v>346</v>
      </c>
      <c r="D92" s="3" t="s">
        <v>241</v>
      </c>
      <c r="E92" s="3" t="s">
        <v>15</v>
      </c>
      <c r="F92" s="4" t="s">
        <v>16</v>
      </c>
      <c r="G92" s="5" t="s">
        <v>347</v>
      </c>
      <c r="H92" s="6">
        <v>9.597118662E9</v>
      </c>
      <c r="I92" s="7">
        <v>46238.50347222222</v>
      </c>
      <c r="J92" s="8">
        <v>46239.0</v>
      </c>
      <c r="K92" s="9" t="s">
        <v>341</v>
      </c>
      <c r="O92" s="10" t="str">
        <f t="shared" si="1"/>
        <v/>
      </c>
    </row>
    <row r="93" ht="22.5" customHeight="1">
      <c r="A93" s="3" t="s">
        <v>293</v>
      </c>
      <c r="B93" s="4" t="s">
        <v>348</v>
      </c>
      <c r="C93" s="4" t="s">
        <v>349</v>
      </c>
      <c r="D93" s="3" t="s">
        <v>241</v>
      </c>
      <c r="E93" s="3" t="s">
        <v>15</v>
      </c>
      <c r="F93" s="4" t="s">
        <v>16</v>
      </c>
      <c r="G93" s="5" t="s">
        <v>350</v>
      </c>
      <c r="H93" s="6">
        <v>9.444816216E9</v>
      </c>
      <c r="I93" s="7">
        <v>46238.44513888889</v>
      </c>
      <c r="J93" s="8">
        <v>46239.0</v>
      </c>
      <c r="K93" s="9" t="s">
        <v>351</v>
      </c>
      <c r="O93" s="10" t="str">
        <f t="shared" si="1"/>
        <v/>
      </c>
    </row>
    <row r="94" ht="22.5" customHeight="1">
      <c r="A94" s="3" t="s">
        <v>293</v>
      </c>
      <c r="B94" s="4" t="s">
        <v>352</v>
      </c>
      <c r="C94" s="4" t="s">
        <v>353</v>
      </c>
      <c r="D94" s="3" t="s">
        <v>241</v>
      </c>
      <c r="E94" s="3" t="s">
        <v>15</v>
      </c>
      <c r="F94" s="4" t="s">
        <v>16</v>
      </c>
      <c r="G94" s="5" t="s">
        <v>354</v>
      </c>
      <c r="H94" s="6">
        <v>7.538831199E9</v>
      </c>
      <c r="I94" s="7">
        <v>46238.57083333333</v>
      </c>
      <c r="J94" s="8">
        <v>46239.0</v>
      </c>
      <c r="K94" s="9" t="s">
        <v>351</v>
      </c>
      <c r="O94" s="10" t="str">
        <f t="shared" si="1"/>
        <v/>
      </c>
    </row>
    <row r="95" ht="22.5" customHeight="1">
      <c r="A95" s="3" t="s">
        <v>293</v>
      </c>
      <c r="B95" s="4" t="s">
        <v>355</v>
      </c>
      <c r="C95" s="4" t="s">
        <v>356</v>
      </c>
      <c r="D95" s="3" t="s">
        <v>241</v>
      </c>
      <c r="E95" s="3" t="s">
        <v>15</v>
      </c>
      <c r="F95" s="4" t="s">
        <v>16</v>
      </c>
      <c r="G95" s="5" t="s">
        <v>357</v>
      </c>
      <c r="H95" s="6">
        <v>9.444516992E9</v>
      </c>
      <c r="I95" s="7">
        <v>46238.44652777778</v>
      </c>
      <c r="J95" s="8">
        <v>46239.0</v>
      </c>
      <c r="K95" s="9" t="s">
        <v>358</v>
      </c>
      <c r="O95" s="10" t="str">
        <f t="shared" si="1"/>
        <v/>
      </c>
    </row>
    <row r="96" ht="22.5" customHeight="1">
      <c r="A96" s="3" t="s">
        <v>293</v>
      </c>
      <c r="B96" s="4" t="s">
        <v>359</v>
      </c>
      <c r="C96" s="4" t="s">
        <v>360</v>
      </c>
      <c r="D96" s="3" t="s">
        <v>241</v>
      </c>
      <c r="E96" s="3" t="s">
        <v>15</v>
      </c>
      <c r="F96" s="4" t="s">
        <v>16</v>
      </c>
      <c r="G96" s="5" t="s">
        <v>361</v>
      </c>
      <c r="H96" s="6">
        <v>9.487768486E9</v>
      </c>
      <c r="I96" s="7">
        <v>46238.45</v>
      </c>
      <c r="J96" s="8">
        <v>46239.0</v>
      </c>
      <c r="K96" s="9" t="s">
        <v>358</v>
      </c>
      <c r="O96" s="10" t="str">
        <f t="shared" si="1"/>
        <v/>
      </c>
    </row>
    <row r="97" ht="22.5" customHeight="1">
      <c r="A97" s="3" t="s">
        <v>293</v>
      </c>
      <c r="B97" s="4" t="s">
        <v>362</v>
      </c>
      <c r="C97" s="4" t="s">
        <v>363</v>
      </c>
      <c r="D97" s="3" t="s">
        <v>241</v>
      </c>
      <c r="E97" s="3" t="s">
        <v>15</v>
      </c>
      <c r="F97" s="4" t="s">
        <v>16</v>
      </c>
      <c r="G97" s="5" t="s">
        <v>364</v>
      </c>
      <c r="H97" s="6">
        <v>8.93923587E9</v>
      </c>
      <c r="I97" s="7">
        <v>46238.444444444445</v>
      </c>
      <c r="J97" s="8">
        <v>46239.0</v>
      </c>
      <c r="K97" s="9" t="s">
        <v>358</v>
      </c>
      <c r="O97" s="10" t="str">
        <f t="shared" si="1"/>
        <v/>
      </c>
    </row>
    <row r="98" ht="22.5" customHeight="1">
      <c r="A98" s="3" t="s">
        <v>365</v>
      </c>
      <c r="B98" s="4" t="s">
        <v>366</v>
      </c>
      <c r="C98" s="4" t="s">
        <v>367</v>
      </c>
      <c r="D98" s="3" t="s">
        <v>368</v>
      </c>
      <c r="E98" s="3" t="s">
        <v>369</v>
      </c>
      <c r="F98" s="4" t="s">
        <v>370</v>
      </c>
      <c r="G98" s="5" t="s">
        <v>371</v>
      </c>
      <c r="H98" s="6">
        <v>9.34435517E9</v>
      </c>
      <c r="I98" s="7">
        <v>46238.44375</v>
      </c>
      <c r="J98" s="8">
        <v>46239.0</v>
      </c>
      <c r="K98" s="9" t="s">
        <v>372</v>
      </c>
      <c r="O98" s="10" t="str">
        <f t="shared" si="1"/>
        <v/>
      </c>
    </row>
    <row r="99" ht="22.5" customHeight="1">
      <c r="A99" s="3" t="s">
        <v>365</v>
      </c>
      <c r="B99" s="4" t="s">
        <v>373</v>
      </c>
      <c r="C99" s="4" t="s">
        <v>374</v>
      </c>
      <c r="D99" s="3" t="s">
        <v>368</v>
      </c>
      <c r="E99" s="3" t="s">
        <v>369</v>
      </c>
      <c r="F99" s="4" t="s">
        <v>370</v>
      </c>
      <c r="G99" s="5" t="s">
        <v>375</v>
      </c>
      <c r="H99" s="6">
        <v>9.361704208E9</v>
      </c>
      <c r="I99" s="7">
        <v>46238.458333333336</v>
      </c>
      <c r="J99" s="8">
        <v>46239.0</v>
      </c>
      <c r="K99" s="9" t="s">
        <v>372</v>
      </c>
      <c r="O99" s="10" t="str">
        <f t="shared" si="1"/>
        <v/>
      </c>
    </row>
    <row r="100" ht="22.5" customHeight="1">
      <c r="A100" s="3" t="s">
        <v>365</v>
      </c>
      <c r="B100" s="4" t="s">
        <v>376</v>
      </c>
      <c r="C100" s="4" t="s">
        <v>377</v>
      </c>
      <c r="D100" s="3" t="s">
        <v>368</v>
      </c>
      <c r="E100" s="3" t="s">
        <v>15</v>
      </c>
      <c r="F100" s="4" t="s">
        <v>16</v>
      </c>
      <c r="G100" s="5" t="s">
        <v>378</v>
      </c>
      <c r="H100" s="6">
        <v>9.67724825E9</v>
      </c>
      <c r="I100" s="7">
        <v>46238.447916666664</v>
      </c>
      <c r="J100" s="8">
        <v>46239.0</v>
      </c>
      <c r="K100" s="9" t="s">
        <v>372</v>
      </c>
      <c r="O100" s="10" t="str">
        <f t="shared" si="1"/>
        <v/>
      </c>
    </row>
    <row r="101" ht="22.5" customHeight="1">
      <c r="A101" s="3" t="s">
        <v>365</v>
      </c>
      <c r="B101" s="4" t="s">
        <v>379</v>
      </c>
      <c r="C101" s="4" t="s">
        <v>380</v>
      </c>
      <c r="D101" s="3" t="s">
        <v>368</v>
      </c>
      <c r="E101" s="3" t="s">
        <v>15</v>
      </c>
      <c r="F101" s="4" t="s">
        <v>16</v>
      </c>
      <c r="G101" s="5" t="s">
        <v>381</v>
      </c>
      <c r="H101" s="6">
        <v>9.8841776E9</v>
      </c>
      <c r="I101" s="7">
        <v>46238.44652777778</v>
      </c>
      <c r="J101" s="8">
        <v>46239.0</v>
      </c>
      <c r="K101" s="9" t="s">
        <v>382</v>
      </c>
      <c r="O101" s="10" t="str">
        <f t="shared" si="1"/>
        <v/>
      </c>
    </row>
    <row r="102" ht="22.5" customHeight="1">
      <c r="A102" s="3" t="s">
        <v>365</v>
      </c>
      <c r="B102" s="4" t="s">
        <v>383</v>
      </c>
      <c r="C102" s="4" t="s">
        <v>384</v>
      </c>
      <c r="D102" s="3" t="s">
        <v>368</v>
      </c>
      <c r="E102" s="3" t="s">
        <v>15</v>
      </c>
      <c r="F102" s="4" t="s">
        <v>16</v>
      </c>
      <c r="G102" s="5" t="s">
        <v>385</v>
      </c>
      <c r="H102" s="6">
        <v>7.299059114E9</v>
      </c>
      <c r="I102" s="7">
        <v>46238.44930555556</v>
      </c>
      <c r="J102" s="8">
        <v>46239.0</v>
      </c>
      <c r="K102" s="9" t="s">
        <v>382</v>
      </c>
      <c r="O102" s="10" t="str">
        <f t="shared" si="1"/>
        <v/>
      </c>
    </row>
    <row r="103" ht="22.5" customHeight="1">
      <c r="A103" s="3" t="s">
        <v>365</v>
      </c>
      <c r="B103" s="4" t="s">
        <v>386</v>
      </c>
      <c r="C103" s="4" t="s">
        <v>387</v>
      </c>
      <c r="D103" s="3" t="s">
        <v>368</v>
      </c>
      <c r="E103" s="3" t="s">
        <v>15</v>
      </c>
      <c r="F103" s="4" t="s">
        <v>16</v>
      </c>
      <c r="G103" s="5" t="s">
        <v>388</v>
      </c>
      <c r="H103" s="6">
        <v>9.677329581E9</v>
      </c>
      <c r="I103" s="7">
        <v>46238.45208333333</v>
      </c>
      <c r="J103" s="8">
        <v>46239.0</v>
      </c>
      <c r="K103" s="9" t="s">
        <v>389</v>
      </c>
      <c r="O103" s="10" t="str">
        <f t="shared" si="1"/>
        <v/>
      </c>
    </row>
    <row r="104" ht="22.5" customHeight="1">
      <c r="A104" s="3" t="s">
        <v>365</v>
      </c>
      <c r="B104" s="4" t="s">
        <v>390</v>
      </c>
      <c r="C104" s="4" t="s">
        <v>391</v>
      </c>
      <c r="D104" s="3" t="s">
        <v>368</v>
      </c>
      <c r="E104" s="3" t="s">
        <v>15</v>
      </c>
      <c r="F104" s="4" t="s">
        <v>16</v>
      </c>
      <c r="G104" s="5" t="s">
        <v>392</v>
      </c>
      <c r="H104" s="6">
        <v>9.791577812E9</v>
      </c>
      <c r="I104" s="7">
        <v>46238.45625</v>
      </c>
      <c r="J104" s="8">
        <v>46239.0</v>
      </c>
      <c r="K104" s="9" t="s">
        <v>389</v>
      </c>
      <c r="O104" s="10" t="str">
        <f t="shared" si="1"/>
        <v/>
      </c>
    </row>
    <row r="105" ht="22.5" customHeight="1">
      <c r="A105" s="3" t="s">
        <v>365</v>
      </c>
      <c r="B105" s="4" t="s">
        <v>393</v>
      </c>
      <c r="C105" s="4" t="s">
        <v>394</v>
      </c>
      <c r="D105" s="3" t="s">
        <v>368</v>
      </c>
      <c r="E105" s="3" t="s">
        <v>15</v>
      </c>
      <c r="F105" s="4" t="s">
        <v>16</v>
      </c>
      <c r="G105" s="5" t="s">
        <v>395</v>
      </c>
      <c r="H105" s="6">
        <v>9.363199679E9</v>
      </c>
      <c r="I105" s="7">
        <v>46238.45486111111</v>
      </c>
      <c r="J105" s="8">
        <v>46239.0</v>
      </c>
      <c r="K105" s="9" t="s">
        <v>396</v>
      </c>
      <c r="O105" s="10" t="str">
        <f t="shared" si="1"/>
        <v/>
      </c>
    </row>
    <row r="106" ht="22.5" customHeight="1">
      <c r="A106" s="3" t="s">
        <v>365</v>
      </c>
      <c r="B106" s="4" t="s">
        <v>397</v>
      </c>
      <c r="C106" s="4" t="s">
        <v>398</v>
      </c>
      <c r="D106" s="3" t="s">
        <v>368</v>
      </c>
      <c r="E106" s="3" t="s">
        <v>15</v>
      </c>
      <c r="F106" s="4" t="s">
        <v>16</v>
      </c>
      <c r="G106" s="5" t="s">
        <v>399</v>
      </c>
      <c r="H106" s="6">
        <v>8.248167599E9</v>
      </c>
      <c r="I106" s="7">
        <v>46238.4625</v>
      </c>
      <c r="J106" s="8">
        <v>46239.0</v>
      </c>
      <c r="K106" s="9" t="s">
        <v>396</v>
      </c>
      <c r="O106" s="10" t="str">
        <f t="shared" si="1"/>
        <v/>
      </c>
    </row>
    <row r="107" ht="22.5" customHeight="1">
      <c r="A107" s="3" t="s">
        <v>365</v>
      </c>
      <c r="B107" s="4" t="s">
        <v>400</v>
      </c>
      <c r="C107" s="4" t="s">
        <v>401</v>
      </c>
      <c r="D107" s="3" t="s">
        <v>368</v>
      </c>
      <c r="E107" s="3" t="s">
        <v>15</v>
      </c>
      <c r="F107" s="4" t="s">
        <v>16</v>
      </c>
      <c r="G107" s="5" t="s">
        <v>402</v>
      </c>
      <c r="H107" s="6">
        <v>9.789928647E9</v>
      </c>
      <c r="I107" s="7">
        <v>46238.45694444444</v>
      </c>
      <c r="J107" s="8">
        <v>46239.0</v>
      </c>
      <c r="K107" s="9" t="s">
        <v>403</v>
      </c>
      <c r="O107" s="10" t="str">
        <f t="shared" si="1"/>
        <v/>
      </c>
    </row>
    <row r="108" ht="22.5" customHeight="1">
      <c r="A108" s="3" t="s">
        <v>365</v>
      </c>
      <c r="B108" s="4" t="s">
        <v>404</v>
      </c>
      <c r="C108" s="4" t="s">
        <v>405</v>
      </c>
      <c r="D108" s="3" t="s">
        <v>368</v>
      </c>
      <c r="E108" s="3" t="s">
        <v>15</v>
      </c>
      <c r="F108" s="4" t="s">
        <v>16</v>
      </c>
      <c r="G108" s="5" t="s">
        <v>406</v>
      </c>
      <c r="H108" s="6">
        <v>7.540039583E9</v>
      </c>
      <c r="I108" s="7">
        <v>46238.46319444444</v>
      </c>
      <c r="J108" s="8">
        <v>46239.0</v>
      </c>
      <c r="K108" s="9" t="s">
        <v>403</v>
      </c>
      <c r="O108" s="10" t="str">
        <f t="shared" si="1"/>
        <v/>
      </c>
    </row>
    <row r="109" ht="22.5" customHeight="1">
      <c r="A109" s="3" t="s">
        <v>365</v>
      </c>
      <c r="B109" s="4" t="s">
        <v>407</v>
      </c>
      <c r="C109" s="4" t="s">
        <v>408</v>
      </c>
      <c r="D109" s="3" t="s">
        <v>368</v>
      </c>
      <c r="E109" s="3" t="s">
        <v>15</v>
      </c>
      <c r="F109" s="4" t="s">
        <v>16</v>
      </c>
      <c r="G109" s="5" t="s">
        <v>409</v>
      </c>
      <c r="H109" s="6">
        <v>7.845734236E9</v>
      </c>
      <c r="I109" s="7">
        <v>46238.45972222222</v>
      </c>
      <c r="J109" s="8">
        <v>46239.0</v>
      </c>
      <c r="K109" s="9" t="s">
        <v>403</v>
      </c>
      <c r="O109" s="10" t="str">
        <f t="shared" si="1"/>
        <v/>
      </c>
    </row>
    <row r="110" ht="22.5" customHeight="1">
      <c r="A110" s="3" t="s">
        <v>365</v>
      </c>
      <c r="B110" s="4" t="s">
        <v>410</v>
      </c>
      <c r="C110" s="4" t="s">
        <v>411</v>
      </c>
      <c r="D110" s="3" t="s">
        <v>368</v>
      </c>
      <c r="E110" s="3" t="s">
        <v>15</v>
      </c>
      <c r="F110" s="4" t="s">
        <v>16</v>
      </c>
      <c r="G110" s="5" t="s">
        <v>412</v>
      </c>
      <c r="H110" s="6">
        <v>9.445273019E9</v>
      </c>
      <c r="I110" s="7">
        <v>46238.44861111111</v>
      </c>
      <c r="J110" s="8">
        <v>46239.0</v>
      </c>
      <c r="K110" s="9" t="s">
        <v>413</v>
      </c>
      <c r="O110" s="10" t="str">
        <f t="shared" si="1"/>
        <v/>
      </c>
    </row>
    <row r="111" ht="22.5" customHeight="1">
      <c r="A111" s="3" t="s">
        <v>365</v>
      </c>
      <c r="B111" s="4" t="s">
        <v>414</v>
      </c>
      <c r="C111" s="4" t="s">
        <v>415</v>
      </c>
      <c r="D111" s="3" t="s">
        <v>368</v>
      </c>
      <c r="E111" s="3" t="s">
        <v>15</v>
      </c>
      <c r="F111" s="4" t="s">
        <v>16</v>
      </c>
      <c r="G111" s="5" t="s">
        <v>416</v>
      </c>
      <c r="H111" s="6">
        <v>9.043397564E9</v>
      </c>
      <c r="I111" s="7">
        <v>46238.458333333336</v>
      </c>
      <c r="J111" s="8">
        <v>46239.0</v>
      </c>
      <c r="K111" s="9" t="s">
        <v>413</v>
      </c>
      <c r="O111" s="10" t="str">
        <f t="shared" si="1"/>
        <v/>
      </c>
    </row>
    <row r="112" ht="22.5" customHeight="1">
      <c r="A112" s="3" t="s">
        <v>365</v>
      </c>
      <c r="B112" s="4" t="s">
        <v>417</v>
      </c>
      <c r="C112" s="4" t="s">
        <v>418</v>
      </c>
      <c r="D112" s="3" t="s">
        <v>368</v>
      </c>
      <c r="E112" s="3" t="s">
        <v>15</v>
      </c>
      <c r="F112" s="4" t="s">
        <v>16</v>
      </c>
      <c r="G112" s="5" t="s">
        <v>419</v>
      </c>
      <c r="H112" s="6">
        <v>9.967282712E9</v>
      </c>
      <c r="I112" s="7">
        <v>46238.459027777775</v>
      </c>
      <c r="J112" s="8">
        <v>46239.0</v>
      </c>
      <c r="K112" s="9" t="s">
        <v>420</v>
      </c>
      <c r="O112" s="10" t="str">
        <f t="shared" si="1"/>
        <v/>
      </c>
    </row>
    <row r="113" ht="22.5" customHeight="1">
      <c r="A113" s="3" t="s">
        <v>365</v>
      </c>
      <c r="B113" s="4" t="s">
        <v>421</v>
      </c>
      <c r="C113" s="4" t="s">
        <v>422</v>
      </c>
      <c r="D113" s="3" t="s">
        <v>368</v>
      </c>
      <c r="E113" s="3" t="s">
        <v>15</v>
      </c>
      <c r="F113" s="4" t="s">
        <v>16</v>
      </c>
      <c r="G113" s="5" t="s">
        <v>423</v>
      </c>
      <c r="H113" s="6">
        <v>9.600362503E9</v>
      </c>
      <c r="I113" s="7">
        <v>46238.45694444444</v>
      </c>
      <c r="J113" s="8">
        <v>46239.0</v>
      </c>
      <c r="K113" s="9" t="s">
        <v>420</v>
      </c>
      <c r="O113" s="10" t="str">
        <f t="shared" si="1"/>
        <v/>
      </c>
    </row>
    <row r="114" ht="22.5" customHeight="1">
      <c r="A114" s="3" t="s">
        <v>365</v>
      </c>
      <c r="B114" s="4" t="s">
        <v>424</v>
      </c>
      <c r="C114" s="4" t="s">
        <v>425</v>
      </c>
      <c r="D114" s="3" t="s">
        <v>368</v>
      </c>
      <c r="E114" s="3" t="s">
        <v>15</v>
      </c>
      <c r="F114" s="4" t="s">
        <v>16</v>
      </c>
      <c r="G114" s="5" t="s">
        <v>426</v>
      </c>
      <c r="H114" s="6">
        <v>8.778604236E9</v>
      </c>
      <c r="I114" s="7">
        <v>46238.45694444444</v>
      </c>
      <c r="J114" s="8">
        <v>46239.0</v>
      </c>
      <c r="K114" s="9" t="s">
        <v>427</v>
      </c>
      <c r="O114" s="10" t="str">
        <f t="shared" si="1"/>
        <v/>
      </c>
    </row>
    <row r="115" ht="22.5" customHeight="1">
      <c r="A115" s="3" t="s">
        <v>365</v>
      </c>
      <c r="B115" s="4" t="s">
        <v>428</v>
      </c>
      <c r="C115" s="4" t="s">
        <v>429</v>
      </c>
      <c r="D115" s="3" t="s">
        <v>368</v>
      </c>
      <c r="E115" s="3" t="s">
        <v>15</v>
      </c>
      <c r="F115" s="4" t="s">
        <v>16</v>
      </c>
      <c r="G115" s="5" t="s">
        <v>430</v>
      </c>
      <c r="H115" s="6">
        <v>7.845862736E9</v>
      </c>
      <c r="I115" s="7">
        <v>46238.458333333336</v>
      </c>
      <c r="J115" s="8">
        <v>46239.0</v>
      </c>
      <c r="K115" s="9" t="s">
        <v>427</v>
      </c>
      <c r="O115" s="10" t="str">
        <f t="shared" si="1"/>
        <v/>
      </c>
    </row>
    <row r="116" ht="22.5" customHeight="1">
      <c r="A116" s="3" t="s">
        <v>431</v>
      </c>
      <c r="B116" s="4" t="s">
        <v>432</v>
      </c>
      <c r="C116" s="4" t="s">
        <v>433</v>
      </c>
      <c r="D116" s="3" t="s">
        <v>14</v>
      </c>
      <c r="E116" s="3" t="s">
        <v>15</v>
      </c>
      <c r="F116" s="4" t="s">
        <v>16</v>
      </c>
      <c r="G116" s="5" t="s">
        <v>434</v>
      </c>
      <c r="H116" s="6">
        <v>6.369501112E9</v>
      </c>
      <c r="I116" s="7">
        <v>46238.478472222225</v>
      </c>
      <c r="J116" s="8">
        <v>46239.0</v>
      </c>
      <c r="K116" s="9" t="s">
        <v>435</v>
      </c>
      <c r="O116" s="10" t="str">
        <f t="shared" si="1"/>
        <v/>
      </c>
    </row>
    <row r="117" ht="22.5" customHeight="1">
      <c r="A117" s="3" t="s">
        <v>436</v>
      </c>
      <c r="B117" s="4" t="s">
        <v>437</v>
      </c>
      <c r="C117" s="4" t="s">
        <v>438</v>
      </c>
      <c r="D117" s="3" t="s">
        <v>368</v>
      </c>
      <c r="E117" s="3" t="s">
        <v>15</v>
      </c>
      <c r="F117" s="4" t="s">
        <v>16</v>
      </c>
      <c r="G117" s="5" t="s">
        <v>439</v>
      </c>
      <c r="H117" s="6">
        <v>9.384284516E9</v>
      </c>
      <c r="I117" s="7">
        <v>46238.45208333333</v>
      </c>
      <c r="J117" s="8">
        <v>46239.0</v>
      </c>
      <c r="K117" s="9" t="s">
        <v>435</v>
      </c>
      <c r="O117" s="10" t="str">
        <f t="shared" si="1"/>
        <v/>
      </c>
    </row>
    <row r="118" ht="22.5" customHeight="1">
      <c r="A118" s="3" t="s">
        <v>436</v>
      </c>
      <c r="B118" s="4" t="s">
        <v>440</v>
      </c>
      <c r="C118" s="4" t="s">
        <v>441</v>
      </c>
      <c r="D118" s="3" t="s">
        <v>368</v>
      </c>
      <c r="E118" s="3" t="s">
        <v>15</v>
      </c>
      <c r="F118" s="4" t="s">
        <v>16</v>
      </c>
      <c r="G118" s="5" t="s">
        <v>442</v>
      </c>
      <c r="H118" s="6">
        <v>7.550078235E9</v>
      </c>
      <c r="I118" s="7">
        <v>46238.52222222222</v>
      </c>
      <c r="J118" s="8">
        <v>46239.0</v>
      </c>
      <c r="K118" s="9" t="s">
        <v>435</v>
      </c>
      <c r="O118" s="10" t="str">
        <f t="shared" si="1"/>
        <v/>
      </c>
    </row>
    <row r="119" ht="22.5" customHeight="1">
      <c r="A119" s="3" t="s">
        <v>436</v>
      </c>
      <c r="B119" s="4" t="s">
        <v>443</v>
      </c>
      <c r="C119" s="4" t="s">
        <v>444</v>
      </c>
      <c r="D119" s="3" t="s">
        <v>368</v>
      </c>
      <c r="E119" s="3" t="s">
        <v>15</v>
      </c>
      <c r="F119" s="4" t="s">
        <v>16</v>
      </c>
      <c r="G119" s="5" t="s">
        <v>445</v>
      </c>
      <c r="H119" s="6">
        <v>9.962290405E9</v>
      </c>
      <c r="I119" s="7">
        <v>46238.44861111111</v>
      </c>
      <c r="J119" s="8">
        <v>46239.0</v>
      </c>
      <c r="K119" s="9" t="s">
        <v>446</v>
      </c>
      <c r="O119" s="10" t="str">
        <f t="shared" si="1"/>
        <v/>
      </c>
    </row>
    <row r="120" ht="22.5" customHeight="1">
      <c r="A120" s="3" t="s">
        <v>436</v>
      </c>
      <c r="B120" s="4" t="s">
        <v>447</v>
      </c>
      <c r="C120" s="4" t="s">
        <v>448</v>
      </c>
      <c r="D120" s="3" t="s">
        <v>368</v>
      </c>
      <c r="E120" s="3" t="s">
        <v>15</v>
      </c>
      <c r="F120" s="4" t="s">
        <v>16</v>
      </c>
      <c r="G120" s="5" t="s">
        <v>449</v>
      </c>
      <c r="H120" s="6">
        <v>9.6771347E9</v>
      </c>
      <c r="I120" s="7">
        <v>46238.45625</v>
      </c>
      <c r="J120" s="8">
        <v>46239.0</v>
      </c>
      <c r="K120" s="9" t="s">
        <v>446</v>
      </c>
      <c r="O120" s="10" t="str">
        <f t="shared" si="1"/>
        <v/>
      </c>
    </row>
    <row r="121" ht="22.5" customHeight="1">
      <c r="A121" s="3" t="s">
        <v>436</v>
      </c>
      <c r="B121" s="4" t="s">
        <v>450</v>
      </c>
      <c r="C121" s="4" t="s">
        <v>451</v>
      </c>
      <c r="D121" s="3" t="s">
        <v>368</v>
      </c>
      <c r="E121" s="3" t="s">
        <v>15</v>
      </c>
      <c r="F121" s="4" t="s">
        <v>16</v>
      </c>
      <c r="G121" s="5" t="s">
        <v>452</v>
      </c>
      <c r="H121" s="6">
        <v>9.384818182E9</v>
      </c>
      <c r="I121" s="7">
        <v>46238.447916666664</v>
      </c>
      <c r="J121" s="8">
        <v>46239.0</v>
      </c>
      <c r="K121" s="9" t="s">
        <v>453</v>
      </c>
      <c r="O121" s="10" t="str">
        <f t="shared" si="1"/>
        <v/>
      </c>
    </row>
    <row r="122" ht="22.5" customHeight="1">
      <c r="A122" s="3" t="s">
        <v>436</v>
      </c>
      <c r="B122" s="4" t="s">
        <v>454</v>
      </c>
      <c r="C122" s="4" t="s">
        <v>455</v>
      </c>
      <c r="D122" s="3" t="s">
        <v>368</v>
      </c>
      <c r="E122" s="3" t="s">
        <v>15</v>
      </c>
      <c r="F122" s="4" t="s">
        <v>16</v>
      </c>
      <c r="G122" s="5" t="s">
        <v>456</v>
      </c>
      <c r="H122" s="6">
        <v>7.338962496E9</v>
      </c>
      <c r="I122" s="7">
        <v>46238.44930555556</v>
      </c>
      <c r="J122" s="8">
        <v>46239.0</v>
      </c>
      <c r="K122" s="9" t="s">
        <v>453</v>
      </c>
      <c r="O122" s="10" t="str">
        <f t="shared" si="1"/>
        <v/>
      </c>
    </row>
    <row r="123" ht="22.5" customHeight="1">
      <c r="A123" s="3" t="s">
        <v>436</v>
      </c>
      <c r="B123" s="4" t="s">
        <v>457</v>
      </c>
      <c r="C123" s="4" t="s">
        <v>458</v>
      </c>
      <c r="D123" s="3" t="s">
        <v>368</v>
      </c>
      <c r="E123" s="3" t="s">
        <v>15</v>
      </c>
      <c r="F123" s="4" t="s">
        <v>16</v>
      </c>
      <c r="G123" s="5" t="s">
        <v>459</v>
      </c>
      <c r="H123" s="6">
        <v>8.01564668E9</v>
      </c>
      <c r="I123" s="7">
        <v>46238.44930555556</v>
      </c>
      <c r="J123" s="8">
        <v>46239.0</v>
      </c>
      <c r="K123" s="9" t="s">
        <v>460</v>
      </c>
      <c r="O123" s="10" t="str">
        <f t="shared" si="1"/>
        <v/>
      </c>
    </row>
    <row r="124" ht="22.5" customHeight="1">
      <c r="A124" s="3" t="s">
        <v>436</v>
      </c>
      <c r="B124" s="4" t="s">
        <v>461</v>
      </c>
      <c r="C124" s="4" t="s">
        <v>462</v>
      </c>
      <c r="D124" s="3" t="s">
        <v>368</v>
      </c>
      <c r="E124" s="3" t="s">
        <v>15</v>
      </c>
      <c r="F124" s="4" t="s">
        <v>16</v>
      </c>
      <c r="G124" s="5" t="s">
        <v>463</v>
      </c>
      <c r="H124" s="6">
        <v>9.841827878E9</v>
      </c>
      <c r="I124" s="7">
        <v>46238.44583333333</v>
      </c>
      <c r="J124" s="8">
        <v>46239.0</v>
      </c>
      <c r="K124" s="9" t="s">
        <v>460</v>
      </c>
      <c r="O124" s="10" t="str">
        <f t="shared" si="1"/>
        <v/>
      </c>
    </row>
    <row r="125" ht="22.5" customHeight="1">
      <c r="A125" s="3" t="s">
        <v>436</v>
      </c>
      <c r="B125" s="4" t="s">
        <v>464</v>
      </c>
      <c r="C125" s="4" t="s">
        <v>465</v>
      </c>
      <c r="D125" s="3" t="s">
        <v>368</v>
      </c>
      <c r="E125" s="3" t="s">
        <v>15</v>
      </c>
      <c r="F125" s="4" t="s">
        <v>16</v>
      </c>
      <c r="G125" s="5" t="s">
        <v>466</v>
      </c>
      <c r="H125" s="6">
        <v>7.871049897E9</v>
      </c>
      <c r="I125" s="7">
        <v>46238.447916666664</v>
      </c>
      <c r="J125" s="8">
        <v>46239.0</v>
      </c>
      <c r="K125" s="9" t="s">
        <v>460</v>
      </c>
      <c r="O125" s="10" t="str">
        <f t="shared" si="1"/>
        <v/>
      </c>
    </row>
    <row r="126" ht="22.5" customHeight="1">
      <c r="A126" s="3" t="s">
        <v>436</v>
      </c>
      <c r="B126" s="4" t="s">
        <v>467</v>
      </c>
      <c r="C126" s="4" t="s">
        <v>468</v>
      </c>
      <c r="D126" s="3" t="s">
        <v>368</v>
      </c>
      <c r="E126" s="3" t="s">
        <v>15</v>
      </c>
      <c r="F126" s="4" t="s">
        <v>16</v>
      </c>
      <c r="G126" s="5" t="s">
        <v>469</v>
      </c>
      <c r="H126" s="6">
        <v>8.300356125E9</v>
      </c>
      <c r="I126" s="7">
        <v>46238.44583333333</v>
      </c>
      <c r="J126" s="8">
        <v>46239.0</v>
      </c>
      <c r="K126" s="9" t="s">
        <v>470</v>
      </c>
      <c r="O126" s="10" t="str">
        <f t="shared" si="1"/>
        <v/>
      </c>
    </row>
    <row r="127" ht="22.5" customHeight="1">
      <c r="A127" s="3" t="s">
        <v>436</v>
      </c>
      <c r="B127" s="4" t="s">
        <v>471</v>
      </c>
      <c r="C127" s="4" t="s">
        <v>472</v>
      </c>
      <c r="D127" s="3" t="s">
        <v>368</v>
      </c>
      <c r="E127" s="3" t="s">
        <v>15</v>
      </c>
      <c r="F127" s="4" t="s">
        <v>16</v>
      </c>
      <c r="G127" s="5" t="s">
        <v>473</v>
      </c>
      <c r="H127" s="6">
        <v>6.374423906E9</v>
      </c>
      <c r="I127" s="7">
        <v>46238.44652777778</v>
      </c>
      <c r="J127" s="8">
        <v>46239.0</v>
      </c>
      <c r="K127" s="9" t="s">
        <v>470</v>
      </c>
      <c r="O127" s="10" t="str">
        <f t="shared" si="1"/>
        <v/>
      </c>
    </row>
    <row r="128" ht="22.5" customHeight="1">
      <c r="A128" s="3" t="s">
        <v>436</v>
      </c>
      <c r="B128" s="4" t="s">
        <v>474</v>
      </c>
      <c r="C128" s="4" t="s">
        <v>475</v>
      </c>
      <c r="D128" s="3" t="s">
        <v>368</v>
      </c>
      <c r="E128" s="3" t="s">
        <v>15</v>
      </c>
      <c r="F128" s="4" t="s">
        <v>16</v>
      </c>
      <c r="G128" s="5" t="s">
        <v>476</v>
      </c>
      <c r="H128" s="6">
        <v>7.305700693E9</v>
      </c>
      <c r="I128" s="7">
        <v>46238.447222222225</v>
      </c>
      <c r="J128" s="8">
        <v>46239.0</v>
      </c>
      <c r="K128" s="9" t="s">
        <v>470</v>
      </c>
      <c r="O128" s="10" t="str">
        <f t="shared" si="1"/>
        <v/>
      </c>
    </row>
    <row r="129" ht="22.5" customHeight="1">
      <c r="A129" s="3" t="s">
        <v>436</v>
      </c>
      <c r="B129" s="4" t="s">
        <v>477</v>
      </c>
      <c r="C129" s="4" t="s">
        <v>478</v>
      </c>
      <c r="D129" s="3" t="s">
        <v>368</v>
      </c>
      <c r="E129" s="3" t="s">
        <v>15</v>
      </c>
      <c r="F129" s="4" t="s">
        <v>16</v>
      </c>
      <c r="G129" s="5" t="s">
        <v>479</v>
      </c>
      <c r="H129" s="6">
        <v>7.41829843E9</v>
      </c>
      <c r="I129" s="7">
        <v>46238.46597222222</v>
      </c>
      <c r="J129" s="8">
        <v>46239.0</v>
      </c>
      <c r="K129" s="9" t="s">
        <v>480</v>
      </c>
      <c r="O129" s="10" t="str">
        <f t="shared" si="1"/>
        <v/>
      </c>
    </row>
    <row r="130" ht="22.5" customHeight="1">
      <c r="A130" s="3" t="s">
        <v>481</v>
      </c>
      <c r="B130" s="4" t="s">
        <v>482</v>
      </c>
      <c r="C130" s="4" t="s">
        <v>483</v>
      </c>
      <c r="D130" s="3" t="s">
        <v>484</v>
      </c>
      <c r="E130" s="3" t="s">
        <v>15</v>
      </c>
      <c r="F130" s="4" t="s">
        <v>16</v>
      </c>
      <c r="G130" s="5" t="s">
        <v>485</v>
      </c>
      <c r="H130" s="6">
        <v>9.884978935E9</v>
      </c>
      <c r="I130" s="7">
        <v>46241.27916666667</v>
      </c>
      <c r="J130" s="8">
        <v>46242.0</v>
      </c>
      <c r="K130" s="9" t="s">
        <v>480</v>
      </c>
      <c r="O130" s="10" t="str">
        <f t="shared" si="1"/>
        <v/>
      </c>
    </row>
    <row r="131" ht="22.5" customHeight="1">
      <c r="A131" s="3" t="s">
        <v>481</v>
      </c>
      <c r="B131" s="4" t="s">
        <v>486</v>
      </c>
      <c r="C131" s="4" t="s">
        <v>487</v>
      </c>
      <c r="D131" s="3" t="s">
        <v>484</v>
      </c>
      <c r="E131" s="3" t="s">
        <v>15</v>
      </c>
      <c r="F131" s="4" t="s">
        <v>16</v>
      </c>
      <c r="G131" s="5" t="s">
        <v>488</v>
      </c>
      <c r="H131" s="6">
        <v>7.695835227E9</v>
      </c>
      <c r="I131" s="7">
        <v>46241.75347222222</v>
      </c>
      <c r="J131" s="8">
        <v>46242.0</v>
      </c>
      <c r="K131" s="9" t="s">
        <v>489</v>
      </c>
      <c r="O131" s="10" t="str">
        <f t="shared" si="1"/>
        <v/>
      </c>
    </row>
    <row r="132" ht="22.5" customHeight="1">
      <c r="A132" s="3" t="s">
        <v>481</v>
      </c>
      <c r="B132" s="4" t="s">
        <v>490</v>
      </c>
      <c r="C132" s="4" t="s">
        <v>491</v>
      </c>
      <c r="D132" s="3" t="s">
        <v>484</v>
      </c>
      <c r="E132" s="3" t="s">
        <v>15</v>
      </c>
      <c r="F132" s="4" t="s">
        <v>16</v>
      </c>
      <c r="G132" s="5" t="s">
        <v>492</v>
      </c>
      <c r="H132" s="6">
        <v>7.845116064E9</v>
      </c>
      <c r="I132" s="7">
        <v>46241.75347222222</v>
      </c>
      <c r="J132" s="8">
        <v>46242.0</v>
      </c>
      <c r="K132" s="9" t="s">
        <v>493</v>
      </c>
      <c r="O132" s="10" t="str">
        <f t="shared" si="1"/>
        <v/>
      </c>
    </row>
  </sheetData>
  <dataValidations>
    <dataValidation type="list" allowBlank="1" showDropDown="1" showErrorMessage="1" sqref="E2:E132">
      <formula1>"Regular,Course Substitution"</formula1>
    </dataValidation>
    <dataValidation type="custom" allowBlank="1" showDropDown="1" sqref="J2:J132">
      <formula1>OR(NOT(ISERROR(DATEVALUE(J2))), AND(ISNUMBER(J2), LEFT(CELL("format", J2))="D"))</formula1>
    </dataValidation>
    <dataValidation type="custom" allowBlank="1" showDropDown="1" sqref="I2:I132">
      <formula1>OR(NOT(ISERROR(DATEVALUE(I2))), AND(ISNUMBER(I2), LEFT(CELL("format", I2))="D"))</formula1>
    </dataValidation>
    <dataValidation type="list" allowBlank="1" showDropDown="1" showErrorMessage="1" sqref="D2:D132">
      <formula1>"SCOPE,SCE,SENSE,SELECT,SMEC,VITSOL,VITBS,SSL"</formula1>
    </dataValidation>
    <dataValidation type="custom" allowBlank="1" showDropDown="1" sqref="H2:H132">
      <formula1>AND(ISNUMBER(H2),(NOT(OR(NOT(ISERROR(DATEVALUE(H2))), AND(ISNUMBER(H2), LEFT(CELL("format", H2))="D")))))</formula1>
    </dataValidation>
    <dataValidation type="list" allowBlank="1" showDropDown="1" showErrorMessage="1" sqref="A2:A132">
      <formula1>"BAI,BCE,BCL,BCV,BEC,BEE,BLC,BME,BMH,BMV,BRS,BYB,MID,MIS,BLA,BLB,BBH,BCS,BHC,BHE"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</hyperlinks>
  <drawing r:id="rId132"/>
  <tableParts count="1">
    <tablePart r:id="rId134"/>
  </tableParts>
</worksheet>
</file>